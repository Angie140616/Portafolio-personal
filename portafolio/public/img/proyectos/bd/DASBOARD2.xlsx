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ngie\Downloads\"/>
    </mc:Choice>
  </mc:AlternateContent>
  <xr:revisionPtr revIDLastSave="0" documentId="8_{CAC6AC34-BD9C-4D36-88F6-794B28488138}" xr6:coauthVersionLast="47" xr6:coauthVersionMax="47" xr10:uidLastSave="{00000000-0000-0000-0000-000000000000}"/>
  <bookViews>
    <workbookView xWindow="-120" yWindow="-120" windowWidth="20730" windowHeight="11040" activeTab="3" xr2:uid="{7CD736BA-EA9A-4172-BFBB-2C40D3BF8664}"/>
  </bookViews>
  <sheets>
    <sheet name="BD" sheetId="1" r:id="rId1"/>
    <sheet name="DATOS" sheetId="2" r:id="rId2"/>
    <sheet name="TABLA" sheetId="3" r:id="rId3"/>
    <sheet name="DASHBOARD" sheetId="4" r:id="rId4"/>
  </sheets>
  <definedNames>
    <definedName name="SegmentaciónDeDatos_Area">#N/A</definedName>
    <definedName name="SegmentaciónDeDatos_Estado">#N/A</definedName>
  </definedNames>
  <calcPr calcId="191029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4" i="4" l="1"/>
  <c r="L35" i="4"/>
  <c r="L26" i="4"/>
  <c r="L17" i="4"/>
  <c r="L8" i="4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2" i="2"/>
  <c r="N2" i="2" s="1"/>
  <c r="N17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2" i="2"/>
</calcChain>
</file>

<file path=xl/sharedStrings.xml><?xml version="1.0" encoding="utf-8"?>
<sst xmlns="http://schemas.openxmlformats.org/spreadsheetml/2006/main" count="141" uniqueCount="77">
  <si>
    <t>Empleado_ID</t>
  </si>
  <si>
    <t>Nombre</t>
  </si>
  <si>
    <t>Área</t>
  </si>
  <si>
    <t>Cargo</t>
  </si>
  <si>
    <t>Ciudad</t>
  </si>
  <si>
    <t>Salario_Base</t>
  </si>
  <si>
    <t>E001</t>
  </si>
  <si>
    <t>Laura Gómez</t>
  </si>
  <si>
    <t>Tecnología</t>
  </si>
  <si>
    <t>Desarrollador</t>
  </si>
  <si>
    <t>Bogotá</t>
  </si>
  <si>
    <t>E002</t>
  </si>
  <si>
    <t>Juan Pérez</t>
  </si>
  <si>
    <t>Analista</t>
  </si>
  <si>
    <t>Medellín</t>
  </si>
  <si>
    <t>E003</t>
  </si>
  <si>
    <t>Camila Torres</t>
  </si>
  <si>
    <t>Ventas</t>
  </si>
  <si>
    <t>Ejecutivo</t>
  </si>
  <si>
    <t>Cali</t>
  </si>
  <si>
    <t>E004</t>
  </si>
  <si>
    <t>Andrés Ruiz</t>
  </si>
  <si>
    <t>Supervisor</t>
  </si>
  <si>
    <t>E005</t>
  </si>
  <si>
    <t>Natalia Díaz</t>
  </si>
  <si>
    <t>Recursos Humanos</t>
  </si>
  <si>
    <t>E006</t>
  </si>
  <si>
    <t>Felipe Castro</t>
  </si>
  <si>
    <t>Finanzas</t>
  </si>
  <si>
    <t>Contador</t>
  </si>
  <si>
    <t>E007</t>
  </si>
  <si>
    <t>Daniela Rojas</t>
  </si>
  <si>
    <t>Marketing</t>
  </si>
  <si>
    <t>Diseñador</t>
  </si>
  <si>
    <t>E008</t>
  </si>
  <si>
    <t>Carlos Herrera</t>
  </si>
  <si>
    <t>Soporte</t>
  </si>
  <si>
    <t>Barranquilla</t>
  </si>
  <si>
    <t>E009</t>
  </si>
  <si>
    <t>María López</t>
  </si>
  <si>
    <t>Logística</t>
  </si>
  <si>
    <t>Coordinador</t>
  </si>
  <si>
    <t>E010</t>
  </si>
  <si>
    <t>Sebastián Gil</t>
  </si>
  <si>
    <t>Compras</t>
  </si>
  <si>
    <t>E011</t>
  </si>
  <si>
    <t>Paula Ramírez</t>
  </si>
  <si>
    <t>Community Manager</t>
  </si>
  <si>
    <t>E012</t>
  </si>
  <si>
    <t>David Sánchez</t>
  </si>
  <si>
    <t>Auxiliar</t>
  </si>
  <si>
    <t>E013</t>
  </si>
  <si>
    <t>Juliana Mora</t>
  </si>
  <si>
    <t>E014</t>
  </si>
  <si>
    <t>Cristian León</t>
  </si>
  <si>
    <t>E015</t>
  </si>
  <si>
    <t>Valentina Cruz</t>
  </si>
  <si>
    <t>Fecha</t>
  </si>
  <si>
    <t>Días_Trabajados</t>
  </si>
  <si>
    <t>Horas_Extras</t>
  </si>
  <si>
    <t>Bonificación</t>
  </si>
  <si>
    <t>Descuento</t>
  </si>
  <si>
    <t>Area</t>
  </si>
  <si>
    <t>Salario base</t>
  </si>
  <si>
    <t>Pago horas extra</t>
  </si>
  <si>
    <t>Salario total</t>
  </si>
  <si>
    <t>Estado</t>
  </si>
  <si>
    <t>Etiquetas de fila</t>
  </si>
  <si>
    <t>Total general</t>
  </si>
  <si>
    <t>Etiquetas de columna</t>
  </si>
  <si>
    <t>Suma de Salario total</t>
  </si>
  <si>
    <t>NOMINA TOTAL</t>
  </si>
  <si>
    <t>MAYOR SALARIO</t>
  </si>
  <si>
    <t>MENOR SALARIO</t>
  </si>
  <si>
    <t>HORAS EXTRA</t>
  </si>
  <si>
    <t>PROMEDIO SALARIAL</t>
  </si>
  <si>
    <t>Dashboard de Nómina y Recursos Humanos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</si>
</sst>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$-240A]\ #,##0.00"/>
    <numFmt numFmtId="168" formatCode="[$$-240A]\ 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68" fontId="2" fillId="3" borderId="1" xfId="0" applyNumberFormat="1" applyFont="1" applyFill="1" applyBorder="1" applyAlignment="1">
      <alignment horizontal="center"/>
    </xf>
    <xf numFmtId="168" fontId="2" fillId="3" borderId="2" xfId="0" applyNumberFormat="1" applyFont="1" applyFill="1" applyBorder="1" applyAlignment="1">
      <alignment horizontal="center"/>
    </xf>
    <xf numFmtId="168" fontId="2" fillId="3" borderId="3" xfId="0" applyNumberFormat="1" applyFont="1" applyFill="1" applyBorder="1" applyAlignment="1">
      <alignment horizontal="center"/>
    </xf>
    <xf numFmtId="168" fontId="2" fillId="3" borderId="4" xfId="0" applyNumberFormat="1" applyFont="1" applyFill="1" applyBorder="1" applyAlignment="1">
      <alignment horizontal="center"/>
    </xf>
    <xf numFmtId="168" fontId="2" fillId="3" borderId="0" xfId="0" applyNumberFormat="1" applyFont="1" applyFill="1" applyBorder="1" applyAlignment="1">
      <alignment horizontal="center"/>
    </xf>
    <xf numFmtId="168" fontId="2" fillId="3" borderId="5" xfId="0" applyNumberFormat="1" applyFont="1" applyFill="1" applyBorder="1" applyAlignment="1">
      <alignment horizontal="center"/>
    </xf>
    <xf numFmtId="168" fontId="2" fillId="3" borderId="6" xfId="0" applyNumberFormat="1" applyFont="1" applyFill="1" applyBorder="1" applyAlignment="1">
      <alignment horizontal="center"/>
    </xf>
    <xf numFmtId="168" fontId="2" fillId="3" borderId="7" xfId="0" applyNumberFormat="1" applyFont="1" applyFill="1" applyBorder="1" applyAlignment="1">
      <alignment horizontal="center"/>
    </xf>
    <xf numFmtId="168" fontId="2" fillId="3" borderId="8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166" fontId="1" fillId="0" borderId="0" xfId="0" applyNumberFormat="1" applyFont="1" applyAlignment="1">
      <alignment horizontal="center" vertical="center" wrapText="1"/>
    </xf>
    <xf numFmtId="166" fontId="0" fillId="0" borderId="0" xfId="0" applyNumberFormat="1"/>
    <xf numFmtId="166" fontId="0" fillId="0" borderId="0" xfId="0" applyNumberFormat="1" applyAlignment="1">
      <alignment vertical="center" wrapText="1"/>
    </xf>
    <xf numFmtId="168" fontId="1" fillId="0" borderId="0" xfId="0" applyNumberFormat="1" applyFont="1" applyAlignment="1">
      <alignment horizontal="center" vertical="center" wrapText="1"/>
    </xf>
    <xf numFmtId="168" fontId="0" fillId="0" borderId="0" xfId="0" applyNumberFormat="1" applyAlignment="1">
      <alignment vertical="center" wrapText="1"/>
    </xf>
    <xf numFmtId="168" fontId="0" fillId="0" borderId="0" xfId="0" applyNumberForma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[DASBOARD2.xlsx]TABLA!TablaDinámica1</c:name>
    <c:fmtId val="4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TABLA!$B$3:$B$4</c:f>
              <c:strCache>
                <c:ptCount val="1"/>
                <c:pt idx="0">
                  <c:v>Compras</c:v>
                </c:pt>
              </c:strCache>
            </c:strRef>
          </c:tx>
          <c:spPr>
            <a:solidFill>
              <a:schemeClr val="accent6">
                <a:tint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TABLA!$A$5:$A$18</c:f>
              <c:strCache>
                <c:ptCount val="13"/>
                <c:pt idx="0">
                  <c:v>Carlos Herrera</c:v>
                </c:pt>
                <c:pt idx="1">
                  <c:v>Cristian León</c:v>
                </c:pt>
                <c:pt idx="2">
                  <c:v>Daniela Rojas</c:v>
                </c:pt>
                <c:pt idx="3">
                  <c:v>David Sánchez</c:v>
                </c:pt>
                <c:pt idx="4">
                  <c:v>Felipe Castro</c:v>
                </c:pt>
                <c:pt idx="5">
                  <c:v>Juan Pérez</c:v>
                </c:pt>
                <c:pt idx="6">
                  <c:v>Juliana Mora</c:v>
                </c:pt>
                <c:pt idx="7">
                  <c:v>Laura Gómez</c:v>
                </c:pt>
                <c:pt idx="8">
                  <c:v>María López</c:v>
                </c:pt>
                <c:pt idx="9">
                  <c:v>Natalia Díaz</c:v>
                </c:pt>
                <c:pt idx="10">
                  <c:v>Paula Ramírez</c:v>
                </c:pt>
                <c:pt idx="11">
                  <c:v>Sebastián Gil</c:v>
                </c:pt>
                <c:pt idx="12">
                  <c:v>Valentina Cruz</c:v>
                </c:pt>
              </c:strCache>
            </c:strRef>
          </c:cat>
          <c:val>
            <c:numRef>
              <c:f>TABLA!$B$5:$B$18</c:f>
              <c:numCache>
                <c:formatCode>General</c:formatCode>
                <c:ptCount val="13"/>
                <c:pt idx="11">
                  <c:v>3435000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A-4817-9258-53D641B0F7FE}"/>
            </c:ext>
          </c:extLst>
        </c:ser>
        <c:ser>
          <c:idx val="1"/>
          <c:order val="1"/>
          <c:tx>
            <c:strRef>
              <c:f>TABLA!$C$3:$C$4</c:f>
              <c:strCache>
                <c:ptCount val="1"/>
                <c:pt idx="0">
                  <c:v>Finanzas</c:v>
                </c:pt>
              </c:strCache>
            </c:strRef>
          </c:tx>
          <c:spPr>
            <a:solidFill>
              <a:schemeClr val="accent6">
                <a:tint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TABLA!$A$5:$A$18</c:f>
              <c:strCache>
                <c:ptCount val="13"/>
                <c:pt idx="0">
                  <c:v>Carlos Herrera</c:v>
                </c:pt>
                <c:pt idx="1">
                  <c:v>Cristian León</c:v>
                </c:pt>
                <c:pt idx="2">
                  <c:v>Daniela Rojas</c:v>
                </c:pt>
                <c:pt idx="3">
                  <c:v>David Sánchez</c:v>
                </c:pt>
                <c:pt idx="4">
                  <c:v>Felipe Castro</c:v>
                </c:pt>
                <c:pt idx="5">
                  <c:v>Juan Pérez</c:v>
                </c:pt>
                <c:pt idx="6">
                  <c:v>Juliana Mora</c:v>
                </c:pt>
                <c:pt idx="7">
                  <c:v>Laura Gómez</c:v>
                </c:pt>
                <c:pt idx="8">
                  <c:v>María López</c:v>
                </c:pt>
                <c:pt idx="9">
                  <c:v>Natalia Díaz</c:v>
                </c:pt>
                <c:pt idx="10">
                  <c:v>Paula Ramírez</c:v>
                </c:pt>
                <c:pt idx="11">
                  <c:v>Sebastián Gil</c:v>
                </c:pt>
                <c:pt idx="12">
                  <c:v>Valentina Cruz</c:v>
                </c:pt>
              </c:strCache>
            </c:strRef>
          </c:cat>
          <c:val>
            <c:numRef>
              <c:f>TABLA!$C$5:$C$18</c:f>
              <c:numCache>
                <c:formatCode>General</c:formatCode>
                <c:ptCount val="13"/>
                <c:pt idx="4">
                  <c:v>4405000</c:v>
                </c:pt>
                <c:pt idx="6">
                  <c:v>3940000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AA-4817-9258-53D641B0F7FE}"/>
            </c:ext>
          </c:extLst>
        </c:ser>
        <c:ser>
          <c:idx val="2"/>
          <c:order val="2"/>
          <c:tx>
            <c:strRef>
              <c:f>TABLA!$D$3:$D$4</c:f>
              <c:strCache>
                <c:ptCount val="1"/>
                <c:pt idx="0">
                  <c:v>Logística</c:v>
                </c:pt>
              </c:strCache>
            </c:strRef>
          </c:tx>
          <c:spPr>
            <a:solidFill>
              <a:schemeClr val="accent6">
                <a:tint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TABLA!$A$5:$A$18</c:f>
              <c:strCache>
                <c:ptCount val="13"/>
                <c:pt idx="0">
                  <c:v>Carlos Herrera</c:v>
                </c:pt>
                <c:pt idx="1">
                  <c:v>Cristian León</c:v>
                </c:pt>
                <c:pt idx="2">
                  <c:v>Daniela Rojas</c:v>
                </c:pt>
                <c:pt idx="3">
                  <c:v>David Sánchez</c:v>
                </c:pt>
                <c:pt idx="4">
                  <c:v>Felipe Castro</c:v>
                </c:pt>
                <c:pt idx="5">
                  <c:v>Juan Pérez</c:v>
                </c:pt>
                <c:pt idx="6">
                  <c:v>Juliana Mora</c:v>
                </c:pt>
                <c:pt idx="7">
                  <c:v>Laura Gómez</c:v>
                </c:pt>
                <c:pt idx="8">
                  <c:v>María López</c:v>
                </c:pt>
                <c:pt idx="9">
                  <c:v>Natalia Díaz</c:v>
                </c:pt>
                <c:pt idx="10">
                  <c:v>Paula Ramírez</c:v>
                </c:pt>
                <c:pt idx="11">
                  <c:v>Sebastián Gil</c:v>
                </c:pt>
                <c:pt idx="12">
                  <c:v>Valentina Cruz</c:v>
                </c:pt>
              </c:strCache>
            </c:strRef>
          </c:cat>
          <c:val>
            <c:numRef>
              <c:f>TABLA!$D$5:$D$18</c:f>
              <c:numCache>
                <c:formatCode>General</c:formatCode>
                <c:ptCount val="13"/>
                <c:pt idx="3">
                  <c:v>2517500</c:v>
                </c:pt>
                <c:pt idx="8">
                  <c:v>4257500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AA-4817-9258-53D641B0F7FE}"/>
            </c:ext>
          </c:extLst>
        </c:ser>
        <c:ser>
          <c:idx val="3"/>
          <c:order val="3"/>
          <c:tx>
            <c:strRef>
              <c:f>TABLA!$E$3:$E$4</c:f>
              <c:strCache>
                <c:ptCount val="1"/>
                <c:pt idx="0">
                  <c:v>Marketing</c:v>
                </c:pt>
              </c:strCache>
            </c:strRef>
          </c:tx>
          <c:spPr>
            <a:solidFill>
              <a:schemeClr val="accent6">
                <a:shade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TABLA!$A$5:$A$18</c:f>
              <c:strCache>
                <c:ptCount val="13"/>
                <c:pt idx="0">
                  <c:v>Carlos Herrera</c:v>
                </c:pt>
                <c:pt idx="1">
                  <c:v>Cristian León</c:v>
                </c:pt>
                <c:pt idx="2">
                  <c:v>Daniela Rojas</c:v>
                </c:pt>
                <c:pt idx="3">
                  <c:v>David Sánchez</c:v>
                </c:pt>
                <c:pt idx="4">
                  <c:v>Felipe Castro</c:v>
                </c:pt>
                <c:pt idx="5">
                  <c:v>Juan Pérez</c:v>
                </c:pt>
                <c:pt idx="6">
                  <c:v>Juliana Mora</c:v>
                </c:pt>
                <c:pt idx="7">
                  <c:v>Laura Gómez</c:v>
                </c:pt>
                <c:pt idx="8">
                  <c:v>María López</c:v>
                </c:pt>
                <c:pt idx="9">
                  <c:v>Natalia Díaz</c:v>
                </c:pt>
                <c:pt idx="10">
                  <c:v>Paula Ramírez</c:v>
                </c:pt>
                <c:pt idx="11">
                  <c:v>Sebastián Gil</c:v>
                </c:pt>
                <c:pt idx="12">
                  <c:v>Valentina Cruz</c:v>
                </c:pt>
              </c:strCache>
            </c:strRef>
          </c:cat>
          <c:val>
            <c:numRef>
              <c:f>TABLA!$E$5:$E$18</c:f>
              <c:numCache>
                <c:formatCode>General</c:formatCode>
                <c:ptCount val="13"/>
                <c:pt idx="2">
                  <c:v>3722500</c:v>
                </c:pt>
                <c:pt idx="10">
                  <c:v>3070000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AA-4817-9258-53D641B0F7FE}"/>
            </c:ext>
          </c:extLst>
        </c:ser>
        <c:ser>
          <c:idx val="4"/>
          <c:order val="4"/>
          <c:tx>
            <c:strRef>
              <c:f>TABLA!$F$3:$F$4</c:f>
              <c:strCache>
                <c:ptCount val="1"/>
                <c:pt idx="0">
                  <c:v>Recursos Humanos</c:v>
                </c:pt>
              </c:strCache>
            </c:strRef>
          </c:tx>
          <c:spPr>
            <a:solidFill>
              <a:schemeClr val="accent6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TABLA!$A$5:$A$18</c:f>
              <c:strCache>
                <c:ptCount val="13"/>
                <c:pt idx="0">
                  <c:v>Carlos Herrera</c:v>
                </c:pt>
                <c:pt idx="1">
                  <c:v>Cristian León</c:v>
                </c:pt>
                <c:pt idx="2">
                  <c:v>Daniela Rojas</c:v>
                </c:pt>
                <c:pt idx="3">
                  <c:v>David Sánchez</c:v>
                </c:pt>
                <c:pt idx="4">
                  <c:v>Felipe Castro</c:v>
                </c:pt>
                <c:pt idx="5">
                  <c:v>Juan Pérez</c:v>
                </c:pt>
                <c:pt idx="6">
                  <c:v>Juliana Mora</c:v>
                </c:pt>
                <c:pt idx="7">
                  <c:v>Laura Gómez</c:v>
                </c:pt>
                <c:pt idx="8">
                  <c:v>María López</c:v>
                </c:pt>
                <c:pt idx="9">
                  <c:v>Natalia Díaz</c:v>
                </c:pt>
                <c:pt idx="10">
                  <c:v>Paula Ramírez</c:v>
                </c:pt>
                <c:pt idx="11">
                  <c:v>Sebastián Gil</c:v>
                </c:pt>
                <c:pt idx="12">
                  <c:v>Valentina Cruz</c:v>
                </c:pt>
              </c:strCache>
            </c:strRef>
          </c:cat>
          <c:val>
            <c:numRef>
              <c:f>TABLA!$F$5:$F$18</c:f>
              <c:numCache>
                <c:formatCode>General</c:formatCode>
                <c:ptCount val="13"/>
                <c:pt idx="9">
                  <c:v>3570000</c:v>
                </c:pt>
                <c:pt idx="12">
                  <c:v>4305000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AA-4817-9258-53D641B0F7FE}"/>
            </c:ext>
          </c:extLst>
        </c:ser>
        <c:ser>
          <c:idx val="5"/>
          <c:order val="5"/>
          <c:tx>
            <c:strRef>
              <c:f>TABLA!$G$3:$G$4</c:f>
              <c:strCache>
                <c:ptCount val="1"/>
                <c:pt idx="0">
                  <c:v>Tecnología</c:v>
                </c:pt>
              </c:strCache>
            </c:strRef>
          </c:tx>
          <c:spPr>
            <a:solidFill>
              <a:schemeClr val="accent6">
                <a:shade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TABLA!$A$5:$A$18</c:f>
              <c:strCache>
                <c:ptCount val="13"/>
                <c:pt idx="0">
                  <c:v>Carlos Herrera</c:v>
                </c:pt>
                <c:pt idx="1">
                  <c:v>Cristian León</c:v>
                </c:pt>
                <c:pt idx="2">
                  <c:v>Daniela Rojas</c:v>
                </c:pt>
                <c:pt idx="3">
                  <c:v>David Sánchez</c:v>
                </c:pt>
                <c:pt idx="4">
                  <c:v>Felipe Castro</c:v>
                </c:pt>
                <c:pt idx="5">
                  <c:v>Juan Pérez</c:v>
                </c:pt>
                <c:pt idx="6">
                  <c:v>Juliana Mora</c:v>
                </c:pt>
                <c:pt idx="7">
                  <c:v>Laura Gómez</c:v>
                </c:pt>
                <c:pt idx="8">
                  <c:v>María López</c:v>
                </c:pt>
                <c:pt idx="9">
                  <c:v>Natalia Díaz</c:v>
                </c:pt>
                <c:pt idx="10">
                  <c:v>Paula Ramírez</c:v>
                </c:pt>
                <c:pt idx="11">
                  <c:v>Sebastián Gil</c:v>
                </c:pt>
                <c:pt idx="12">
                  <c:v>Valentina Cruz</c:v>
                </c:pt>
              </c:strCache>
            </c:strRef>
          </c:cat>
          <c:val>
            <c:numRef>
              <c:f>TABLA!$G$5:$G$18</c:f>
              <c:numCache>
                <c:formatCode>General</c:formatCode>
                <c:ptCount val="13"/>
                <c:pt idx="0">
                  <c:v>3152500</c:v>
                </c:pt>
                <c:pt idx="1">
                  <c:v>4592500</c:v>
                </c:pt>
                <c:pt idx="5">
                  <c:v>4040000</c:v>
                </c:pt>
                <c:pt idx="7">
                  <c:v>4375000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AA-4817-9258-53D641B0F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8387584"/>
        <c:axId val="1698385920"/>
      </c:barChart>
      <c:catAx>
        <c:axId val="1698387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98385920"/>
        <c:crosses val="autoZero"/>
        <c:auto val="1"/>
        <c:lblAlgn val="ctr"/>
        <c:lblOffset val="100"/>
        <c:noMultiLvlLbl val="0"/>
      </c:catAx>
      <c:valAx>
        <c:axId val="169838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983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70339469155744"/>
          <c:y val="0.30967300962379701"/>
          <c:w val="0.21961354767602348"/>
          <c:h val="0.430276421060825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[DASBOARD2.xlsx]TABLA!TablaDinámica1</c:name>
    <c:fmtId val="5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TABLA!$B$3:$B$4</c:f>
              <c:strCache>
                <c:ptCount val="1"/>
                <c:pt idx="0">
                  <c:v>Compras</c:v>
                </c:pt>
              </c:strCache>
            </c:strRef>
          </c:tx>
          <c:spPr>
            <a:solidFill>
              <a:schemeClr val="accent6">
                <a:tint val="5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TABLA!$A$5:$A$18</c:f>
              <c:strCache>
                <c:ptCount val="13"/>
                <c:pt idx="0">
                  <c:v>Carlos Herrera</c:v>
                </c:pt>
                <c:pt idx="1">
                  <c:v>Cristian León</c:v>
                </c:pt>
                <c:pt idx="2">
                  <c:v>Daniela Rojas</c:v>
                </c:pt>
                <c:pt idx="3">
                  <c:v>David Sánchez</c:v>
                </c:pt>
                <c:pt idx="4">
                  <c:v>Felipe Castro</c:v>
                </c:pt>
                <c:pt idx="5">
                  <c:v>Juan Pérez</c:v>
                </c:pt>
                <c:pt idx="6">
                  <c:v>Juliana Mora</c:v>
                </c:pt>
                <c:pt idx="7">
                  <c:v>Laura Gómez</c:v>
                </c:pt>
                <c:pt idx="8">
                  <c:v>María López</c:v>
                </c:pt>
                <c:pt idx="9">
                  <c:v>Natalia Díaz</c:v>
                </c:pt>
                <c:pt idx="10">
                  <c:v>Paula Ramírez</c:v>
                </c:pt>
                <c:pt idx="11">
                  <c:v>Sebastián Gil</c:v>
                </c:pt>
                <c:pt idx="12">
                  <c:v>Valentina Cruz</c:v>
                </c:pt>
              </c:strCache>
            </c:strRef>
          </c:cat>
          <c:val>
            <c:numRef>
              <c:f>TABLA!$B$5:$B$18</c:f>
              <c:numCache>
                <c:formatCode>General</c:formatCode>
                <c:ptCount val="13"/>
                <c:pt idx="11">
                  <c:v>3435000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F2-45F4-BF7E-5DF0BBFEC1BC}"/>
            </c:ext>
          </c:extLst>
        </c:ser>
        <c:ser>
          <c:idx val="1"/>
          <c:order val="1"/>
          <c:tx>
            <c:strRef>
              <c:f>TABLA!$C$3:$C$4</c:f>
              <c:strCache>
                <c:ptCount val="1"/>
                <c:pt idx="0">
                  <c:v>Finanzas</c:v>
                </c:pt>
              </c:strCache>
            </c:strRef>
          </c:tx>
          <c:spPr>
            <a:solidFill>
              <a:schemeClr val="accent6">
                <a:tint val="7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TABLA!$A$5:$A$18</c:f>
              <c:strCache>
                <c:ptCount val="13"/>
                <c:pt idx="0">
                  <c:v>Carlos Herrera</c:v>
                </c:pt>
                <c:pt idx="1">
                  <c:v>Cristian León</c:v>
                </c:pt>
                <c:pt idx="2">
                  <c:v>Daniela Rojas</c:v>
                </c:pt>
                <c:pt idx="3">
                  <c:v>David Sánchez</c:v>
                </c:pt>
                <c:pt idx="4">
                  <c:v>Felipe Castro</c:v>
                </c:pt>
                <c:pt idx="5">
                  <c:v>Juan Pérez</c:v>
                </c:pt>
                <c:pt idx="6">
                  <c:v>Juliana Mora</c:v>
                </c:pt>
                <c:pt idx="7">
                  <c:v>Laura Gómez</c:v>
                </c:pt>
                <c:pt idx="8">
                  <c:v>María López</c:v>
                </c:pt>
                <c:pt idx="9">
                  <c:v>Natalia Díaz</c:v>
                </c:pt>
                <c:pt idx="10">
                  <c:v>Paula Ramírez</c:v>
                </c:pt>
                <c:pt idx="11">
                  <c:v>Sebastián Gil</c:v>
                </c:pt>
                <c:pt idx="12">
                  <c:v>Valentina Cruz</c:v>
                </c:pt>
              </c:strCache>
            </c:strRef>
          </c:cat>
          <c:val>
            <c:numRef>
              <c:f>TABLA!$C$5:$C$18</c:f>
              <c:numCache>
                <c:formatCode>General</c:formatCode>
                <c:ptCount val="13"/>
                <c:pt idx="4">
                  <c:v>4405000</c:v>
                </c:pt>
                <c:pt idx="6">
                  <c:v>3940000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F2-45F4-BF7E-5DF0BBFEC1BC}"/>
            </c:ext>
          </c:extLst>
        </c:ser>
        <c:ser>
          <c:idx val="2"/>
          <c:order val="2"/>
          <c:tx>
            <c:strRef>
              <c:f>TABLA!$D$3:$D$4</c:f>
              <c:strCache>
                <c:ptCount val="1"/>
                <c:pt idx="0">
                  <c:v>Logística</c:v>
                </c:pt>
              </c:strCache>
            </c:strRef>
          </c:tx>
          <c:spPr>
            <a:solidFill>
              <a:schemeClr val="accent6">
                <a:tint val="9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TABLA!$A$5:$A$18</c:f>
              <c:strCache>
                <c:ptCount val="13"/>
                <c:pt idx="0">
                  <c:v>Carlos Herrera</c:v>
                </c:pt>
                <c:pt idx="1">
                  <c:v>Cristian León</c:v>
                </c:pt>
                <c:pt idx="2">
                  <c:v>Daniela Rojas</c:v>
                </c:pt>
                <c:pt idx="3">
                  <c:v>David Sánchez</c:v>
                </c:pt>
                <c:pt idx="4">
                  <c:v>Felipe Castro</c:v>
                </c:pt>
                <c:pt idx="5">
                  <c:v>Juan Pérez</c:v>
                </c:pt>
                <c:pt idx="6">
                  <c:v>Juliana Mora</c:v>
                </c:pt>
                <c:pt idx="7">
                  <c:v>Laura Gómez</c:v>
                </c:pt>
                <c:pt idx="8">
                  <c:v>María López</c:v>
                </c:pt>
                <c:pt idx="9">
                  <c:v>Natalia Díaz</c:v>
                </c:pt>
                <c:pt idx="10">
                  <c:v>Paula Ramírez</c:v>
                </c:pt>
                <c:pt idx="11">
                  <c:v>Sebastián Gil</c:v>
                </c:pt>
                <c:pt idx="12">
                  <c:v>Valentina Cruz</c:v>
                </c:pt>
              </c:strCache>
            </c:strRef>
          </c:cat>
          <c:val>
            <c:numRef>
              <c:f>TABLA!$D$5:$D$18</c:f>
              <c:numCache>
                <c:formatCode>General</c:formatCode>
                <c:ptCount val="13"/>
                <c:pt idx="3">
                  <c:v>2517500</c:v>
                </c:pt>
                <c:pt idx="8">
                  <c:v>4257500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F2-45F4-BF7E-5DF0BBFEC1BC}"/>
            </c:ext>
          </c:extLst>
        </c:ser>
        <c:ser>
          <c:idx val="3"/>
          <c:order val="3"/>
          <c:tx>
            <c:strRef>
              <c:f>TABLA!$E$3:$E$4</c:f>
              <c:strCache>
                <c:ptCount val="1"/>
                <c:pt idx="0">
                  <c:v>Marketing</c:v>
                </c:pt>
              </c:strCache>
            </c:strRef>
          </c:tx>
          <c:spPr>
            <a:solidFill>
              <a:schemeClr val="accent6">
                <a:shade val="9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TABLA!$A$5:$A$18</c:f>
              <c:strCache>
                <c:ptCount val="13"/>
                <c:pt idx="0">
                  <c:v>Carlos Herrera</c:v>
                </c:pt>
                <c:pt idx="1">
                  <c:v>Cristian León</c:v>
                </c:pt>
                <c:pt idx="2">
                  <c:v>Daniela Rojas</c:v>
                </c:pt>
                <c:pt idx="3">
                  <c:v>David Sánchez</c:v>
                </c:pt>
                <c:pt idx="4">
                  <c:v>Felipe Castro</c:v>
                </c:pt>
                <c:pt idx="5">
                  <c:v>Juan Pérez</c:v>
                </c:pt>
                <c:pt idx="6">
                  <c:v>Juliana Mora</c:v>
                </c:pt>
                <c:pt idx="7">
                  <c:v>Laura Gómez</c:v>
                </c:pt>
                <c:pt idx="8">
                  <c:v>María López</c:v>
                </c:pt>
                <c:pt idx="9">
                  <c:v>Natalia Díaz</c:v>
                </c:pt>
                <c:pt idx="10">
                  <c:v>Paula Ramírez</c:v>
                </c:pt>
                <c:pt idx="11">
                  <c:v>Sebastián Gil</c:v>
                </c:pt>
                <c:pt idx="12">
                  <c:v>Valentina Cruz</c:v>
                </c:pt>
              </c:strCache>
            </c:strRef>
          </c:cat>
          <c:val>
            <c:numRef>
              <c:f>TABLA!$E$5:$E$18</c:f>
              <c:numCache>
                <c:formatCode>General</c:formatCode>
                <c:ptCount val="13"/>
                <c:pt idx="2">
                  <c:v>3722500</c:v>
                </c:pt>
                <c:pt idx="10">
                  <c:v>3070000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F2-45F4-BF7E-5DF0BBFEC1BC}"/>
            </c:ext>
          </c:extLst>
        </c:ser>
        <c:ser>
          <c:idx val="4"/>
          <c:order val="4"/>
          <c:tx>
            <c:strRef>
              <c:f>TABLA!$F$3:$F$4</c:f>
              <c:strCache>
                <c:ptCount val="1"/>
                <c:pt idx="0">
                  <c:v>Recursos Humanos</c:v>
                </c:pt>
              </c:strCache>
            </c:strRef>
          </c:tx>
          <c:spPr>
            <a:solidFill>
              <a:schemeClr val="accent6">
                <a:shade val="7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TABLA!$A$5:$A$18</c:f>
              <c:strCache>
                <c:ptCount val="13"/>
                <c:pt idx="0">
                  <c:v>Carlos Herrera</c:v>
                </c:pt>
                <c:pt idx="1">
                  <c:v>Cristian León</c:v>
                </c:pt>
                <c:pt idx="2">
                  <c:v>Daniela Rojas</c:v>
                </c:pt>
                <c:pt idx="3">
                  <c:v>David Sánchez</c:v>
                </c:pt>
                <c:pt idx="4">
                  <c:v>Felipe Castro</c:v>
                </c:pt>
                <c:pt idx="5">
                  <c:v>Juan Pérez</c:v>
                </c:pt>
                <c:pt idx="6">
                  <c:v>Juliana Mora</c:v>
                </c:pt>
                <c:pt idx="7">
                  <c:v>Laura Gómez</c:v>
                </c:pt>
                <c:pt idx="8">
                  <c:v>María López</c:v>
                </c:pt>
                <c:pt idx="9">
                  <c:v>Natalia Díaz</c:v>
                </c:pt>
                <c:pt idx="10">
                  <c:v>Paula Ramírez</c:v>
                </c:pt>
                <c:pt idx="11">
                  <c:v>Sebastián Gil</c:v>
                </c:pt>
                <c:pt idx="12">
                  <c:v>Valentina Cruz</c:v>
                </c:pt>
              </c:strCache>
            </c:strRef>
          </c:cat>
          <c:val>
            <c:numRef>
              <c:f>TABLA!$F$5:$F$18</c:f>
              <c:numCache>
                <c:formatCode>General</c:formatCode>
                <c:ptCount val="13"/>
                <c:pt idx="9">
                  <c:v>3570000</c:v>
                </c:pt>
                <c:pt idx="12">
                  <c:v>4305000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F2-45F4-BF7E-5DF0BBFEC1BC}"/>
            </c:ext>
          </c:extLst>
        </c:ser>
        <c:ser>
          <c:idx val="5"/>
          <c:order val="5"/>
          <c:tx>
            <c:strRef>
              <c:f>TABLA!$G$3:$G$4</c:f>
              <c:strCache>
                <c:ptCount val="1"/>
                <c:pt idx="0">
                  <c:v>Tecnología</c:v>
                </c:pt>
              </c:strCache>
            </c:strRef>
          </c:tx>
          <c:spPr>
            <a:solidFill>
              <a:schemeClr val="accent6">
                <a:shade val="5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TABLA!$A$5:$A$18</c:f>
              <c:strCache>
                <c:ptCount val="13"/>
                <c:pt idx="0">
                  <c:v>Carlos Herrera</c:v>
                </c:pt>
                <c:pt idx="1">
                  <c:v>Cristian León</c:v>
                </c:pt>
                <c:pt idx="2">
                  <c:v>Daniela Rojas</c:v>
                </c:pt>
                <c:pt idx="3">
                  <c:v>David Sánchez</c:v>
                </c:pt>
                <c:pt idx="4">
                  <c:v>Felipe Castro</c:v>
                </c:pt>
                <c:pt idx="5">
                  <c:v>Juan Pérez</c:v>
                </c:pt>
                <c:pt idx="6">
                  <c:v>Juliana Mora</c:v>
                </c:pt>
                <c:pt idx="7">
                  <c:v>Laura Gómez</c:v>
                </c:pt>
                <c:pt idx="8">
                  <c:v>María López</c:v>
                </c:pt>
                <c:pt idx="9">
                  <c:v>Natalia Díaz</c:v>
                </c:pt>
                <c:pt idx="10">
                  <c:v>Paula Ramírez</c:v>
                </c:pt>
                <c:pt idx="11">
                  <c:v>Sebastián Gil</c:v>
                </c:pt>
                <c:pt idx="12">
                  <c:v>Valentina Cruz</c:v>
                </c:pt>
              </c:strCache>
            </c:strRef>
          </c:cat>
          <c:val>
            <c:numRef>
              <c:f>TABLA!$G$5:$G$18</c:f>
              <c:numCache>
                <c:formatCode>General</c:formatCode>
                <c:ptCount val="13"/>
                <c:pt idx="0">
                  <c:v>3152500</c:v>
                </c:pt>
                <c:pt idx="1">
                  <c:v>4592500</c:v>
                </c:pt>
                <c:pt idx="5">
                  <c:v>4040000</c:v>
                </c:pt>
                <c:pt idx="7">
                  <c:v>4375000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BF2-45F4-BF7E-5DF0BBFEC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86494928"/>
        <c:axId val="1686496176"/>
        <c:axId val="0"/>
      </c:bar3DChart>
      <c:catAx>
        <c:axId val="168649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86496176"/>
        <c:crosses val="autoZero"/>
        <c:auto val="1"/>
        <c:lblAlgn val="ctr"/>
        <c:lblOffset val="100"/>
        <c:noMultiLvlLbl val="0"/>
      </c:catAx>
      <c:valAx>
        <c:axId val="168649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8649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241300</xdr:colOff>
      <xdr:row>19</xdr:row>
      <xdr:rowOff>169334</xdr:rowOff>
    </xdr:from>
    <xdr:to>
      <xdr:col>1</xdr:col>
      <xdr:colOff>755650</xdr:colOff>
      <xdr:row>33</xdr:row>
      <xdr:rowOff>26459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Estado">
              <a:extLst>
                <a:ext uri="{FF2B5EF4-FFF2-40B4-BE49-F238E27FC236}">
                  <a16:creationId xmlns:a16="http://schemas.microsoft.com/office/drawing/2014/main" id="{1F551D30-9348-46F8-B557-E5BBB217EB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1300" y="3788834"/>
              <a:ext cx="1826683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233892</xdr:colOff>
      <xdr:row>4</xdr:row>
      <xdr:rowOff>92075</xdr:rowOff>
    </xdr:from>
    <xdr:to>
      <xdr:col>1</xdr:col>
      <xdr:colOff>748242</xdr:colOff>
      <xdr:row>17</xdr:row>
      <xdr:rowOff>139700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Area">
              <a:extLst>
                <a:ext uri="{FF2B5EF4-FFF2-40B4-BE49-F238E27FC236}">
                  <a16:creationId xmlns:a16="http://schemas.microsoft.com/office/drawing/2014/main" id="{1BB20F03-BD2F-4C61-AE67-F403813520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re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3892" y="854075"/>
              <a:ext cx="1826683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3</xdr:col>
      <xdr:colOff>457200</xdr:colOff>
      <xdr:row>4</xdr:row>
      <xdr:rowOff>128057</xdr:rowOff>
    </xdr:from>
    <xdr:to>
      <xdr:col>9</xdr:col>
      <xdr:colOff>677333</xdr:colOff>
      <xdr:row>22</xdr:row>
      <xdr:rowOff>116416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BF2B865-A63F-4DD6-A6B2-981F6EBB72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420158</xdr:colOff>
      <xdr:row>24</xdr:row>
      <xdr:rowOff>104774</xdr:rowOff>
    </xdr:from>
    <xdr:to>
      <xdr:col>9</xdr:col>
      <xdr:colOff>656166</xdr:colOff>
      <xdr:row>40</xdr:row>
      <xdr:rowOff>63500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B8F3D1A-3C85-4338-B30E-7B8FCA361F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ie" refreshedDate="46200.858558564818" createdVersion="7" refreshedVersion="7" minRefreshableVersion="3" recordCount="16" xr:uid="{830D2722-0FFF-457A-A0FF-0295F36A3CB4}">
  <cacheSource type="worksheet">
    <worksheetSource ref="A1:O17" sheet="DATOS"/>
  </cacheSource>
  <cacheFields count="15">
    <cacheField name="Fecha" numFmtId="0">
      <sharedItems containsNonDate="0" containsDate="1" containsString="0" containsBlank="1" minDate="2026-07-01T00:00:00" maxDate="2026-07-02T00:00:00" count="2">
        <d v="2026-07-01T00:00:00"/>
        <m/>
      </sharedItems>
    </cacheField>
    <cacheField name="Empleado_ID" numFmtId="0">
      <sharedItems containsBlank="1"/>
    </cacheField>
    <cacheField name="Días_Trabajados" numFmtId="0">
      <sharedItems containsString="0" containsBlank="1" containsNumber="1" containsInteger="1" minValue="20" maxValue="23"/>
    </cacheField>
    <cacheField name="Horas_Extras" numFmtId="0">
      <sharedItems containsString="0" containsBlank="1" containsNumber="1" containsInteger="1" minValue="1" maxValue="12"/>
    </cacheField>
    <cacheField name="Bonificación" numFmtId="0">
      <sharedItems containsString="0" containsBlank="1" containsNumber="1" containsInteger="1" minValue="50000" maxValue="320000"/>
    </cacheField>
    <cacheField name="Descuento" numFmtId="0">
      <sharedItems containsString="0" containsBlank="1" containsNumber="1" containsInteger="1" minValue="0" maxValue="50000"/>
    </cacheField>
    <cacheField name="Nombre" numFmtId="0">
      <sharedItems containsBlank="1" count="16">
        <s v="Laura Gómez"/>
        <s v="Juan Pérez"/>
        <s v="Camila Torres"/>
        <s v="Andrés Ruiz"/>
        <s v="Natalia Díaz"/>
        <s v="Felipe Castro"/>
        <s v="Daniela Rojas"/>
        <s v="Carlos Herrera"/>
        <s v="María López"/>
        <s v="Sebastián Gil"/>
        <s v="Paula Ramírez"/>
        <s v="David Sánchez"/>
        <s v="Juliana Mora"/>
        <s v="Cristian León"/>
        <s v="Valentina Cruz"/>
        <m/>
      </sharedItems>
    </cacheField>
    <cacheField name="Cargo" numFmtId="0">
      <sharedItems containsBlank="1"/>
    </cacheField>
    <cacheField name="Area" numFmtId="0">
      <sharedItems containsBlank="1" count="8">
        <s v="Tecnología"/>
        <s v="Ventas"/>
        <s v="Recursos Humanos"/>
        <s v="Finanzas"/>
        <s v="Marketing"/>
        <s v="Logística"/>
        <s v="Compras"/>
        <m/>
      </sharedItems>
    </cacheField>
    <cacheField name="Ciudad" numFmtId="0">
      <sharedItems containsBlank="1"/>
    </cacheField>
    <cacheField name="Salario base" numFmtId="0">
      <sharedItems containsSemiMixedTypes="0" containsString="0" containsNumber="1" containsInteger="1" minValue="100" maxValue="4500000"/>
    </cacheField>
    <cacheField name="Pago horas extra" numFmtId="0">
      <sharedItems containsString="0" containsBlank="1" containsNumber="1" containsInteger="1" minValue="17500" maxValue="210000" count="13">
        <n v="175000"/>
        <n v="140000"/>
        <n v="210000"/>
        <n v="87500"/>
        <n v="70000"/>
        <n v="105000"/>
        <n v="122500"/>
        <n v="52500"/>
        <n v="157500"/>
        <n v="35000"/>
        <n v="17500"/>
        <n v="192500"/>
        <m/>
      </sharedItems>
    </cacheField>
    <cacheField name="Salario total" numFmtId="0">
      <sharedItems containsString="0" containsBlank="1" containsNumber="1" containsInteger="1" minValue="2517500" maxValue="4592500" count="16">
        <n v="4375000"/>
        <n v="4040000"/>
        <n v="3410000"/>
        <n v="4587500"/>
        <n v="3570000"/>
        <n v="4405000"/>
        <n v="3722500"/>
        <n v="3152500"/>
        <n v="4257500"/>
        <n v="3435000"/>
        <n v="3070000"/>
        <n v="2517500"/>
        <n v="3940000"/>
        <n v="4592500"/>
        <n v="4305000"/>
        <m/>
      </sharedItems>
    </cacheField>
    <cacheField name="Estado" numFmtId="0">
      <sharedItems count="3">
        <s v="SALARIO ALTO"/>
        <s v="SALARIO BAJO"/>
        <s v="SIN DATOS"/>
      </sharedItems>
    </cacheField>
    <cacheField name="Valor extra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19611331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E001"/>
    <n v="22"/>
    <n v="10"/>
    <n v="250000"/>
    <n v="50000"/>
    <x v="0"/>
    <s v="Desarrollador"/>
    <x v="0"/>
    <s v="Bogotá"/>
    <n v="4200000"/>
    <x v="0"/>
    <x v="0"/>
    <x v="0"/>
    <m/>
  </r>
  <r>
    <x v="0"/>
    <s v="E002"/>
    <n v="21"/>
    <n v="8"/>
    <n v="180000"/>
    <n v="0"/>
    <x v="1"/>
    <s v="Analista"/>
    <x v="0"/>
    <s v="Medellín"/>
    <n v="3900000"/>
    <x v="1"/>
    <x v="1"/>
    <x v="0"/>
    <m/>
  </r>
  <r>
    <x v="0"/>
    <s v="E003"/>
    <n v="23"/>
    <n v="12"/>
    <n v="300000"/>
    <n v="20000"/>
    <x v="2"/>
    <s v="Ejecutivo"/>
    <x v="1"/>
    <s v="Cali"/>
    <n v="3200000"/>
    <x v="2"/>
    <x v="2"/>
    <x v="1"/>
    <m/>
  </r>
  <r>
    <x v="0"/>
    <s v="E004"/>
    <n v="22"/>
    <n v="5"/>
    <n v="150000"/>
    <n v="0"/>
    <x v="3"/>
    <s v="Supervisor"/>
    <x v="1"/>
    <s v="Bogotá"/>
    <n v="4500000"/>
    <x v="3"/>
    <x v="3"/>
    <x v="0"/>
    <m/>
  </r>
  <r>
    <x v="0"/>
    <s v="E005"/>
    <n v="20"/>
    <n v="4"/>
    <n v="120000"/>
    <n v="30000"/>
    <x v="4"/>
    <s v="Analista"/>
    <x v="2"/>
    <s v="Medellín"/>
    <n v="3500000"/>
    <x v="4"/>
    <x v="4"/>
    <x v="1"/>
    <m/>
  </r>
  <r>
    <x v="0"/>
    <s v="E006"/>
    <n v="22"/>
    <n v="6"/>
    <n v="200000"/>
    <n v="0"/>
    <x v="5"/>
    <s v="Contador"/>
    <x v="3"/>
    <s v="Bogotá"/>
    <n v="4300000"/>
    <x v="5"/>
    <x v="5"/>
    <x v="0"/>
    <m/>
  </r>
  <r>
    <x v="0"/>
    <s v="E007"/>
    <n v="21"/>
    <n v="7"/>
    <n v="180000"/>
    <n v="25000"/>
    <x v="6"/>
    <s v="Diseñador"/>
    <x v="4"/>
    <s v="Cali"/>
    <n v="3600000"/>
    <x v="6"/>
    <x v="6"/>
    <x v="1"/>
    <m/>
  </r>
  <r>
    <x v="0"/>
    <s v="E008"/>
    <n v="22"/>
    <n v="3"/>
    <n v="90000"/>
    <n v="0"/>
    <x v="7"/>
    <s v="Soporte"/>
    <x v="0"/>
    <s v="Barranquilla"/>
    <n v="3100000"/>
    <x v="7"/>
    <x v="7"/>
    <x v="1"/>
    <m/>
  </r>
  <r>
    <x v="0"/>
    <s v="E009"/>
    <n v="23"/>
    <n v="9"/>
    <n v="230000"/>
    <n v="0"/>
    <x v="8"/>
    <s v="Coordinador"/>
    <x v="5"/>
    <s v="Bogotá"/>
    <n v="4100000"/>
    <x v="8"/>
    <x v="8"/>
    <x v="0"/>
    <m/>
  </r>
  <r>
    <x v="0"/>
    <s v="E010"/>
    <n v="20"/>
    <n v="2"/>
    <n v="80000"/>
    <n v="15000"/>
    <x v="9"/>
    <s v="Analista"/>
    <x v="6"/>
    <s v="Medellín"/>
    <n v="3400000"/>
    <x v="9"/>
    <x v="9"/>
    <x v="1"/>
    <m/>
  </r>
  <r>
    <x v="0"/>
    <s v="E011"/>
    <n v="21"/>
    <n v="4"/>
    <n v="100000"/>
    <n v="0"/>
    <x v="10"/>
    <s v="Community Manager"/>
    <x v="4"/>
    <s v="Cali"/>
    <n v="3000000"/>
    <x v="4"/>
    <x v="10"/>
    <x v="1"/>
    <m/>
  </r>
  <r>
    <x v="0"/>
    <s v="E012"/>
    <n v="22"/>
    <n v="1"/>
    <n v="50000"/>
    <n v="0"/>
    <x v="11"/>
    <s v="Auxiliar"/>
    <x v="5"/>
    <s v="Barranquilla"/>
    <n v="2500000"/>
    <x v="10"/>
    <x v="11"/>
    <x v="1"/>
    <m/>
  </r>
  <r>
    <x v="0"/>
    <s v="E013"/>
    <n v="22"/>
    <n v="8"/>
    <n v="220000"/>
    <n v="10000"/>
    <x v="12"/>
    <s v="Analista"/>
    <x v="3"/>
    <s v="Bogotá"/>
    <n v="3800000"/>
    <x v="1"/>
    <x v="12"/>
    <x v="1"/>
    <m/>
  </r>
  <r>
    <x v="0"/>
    <s v="E014"/>
    <n v="23"/>
    <n v="11"/>
    <n v="320000"/>
    <n v="0"/>
    <x v="13"/>
    <s v="Desarrollador"/>
    <x v="0"/>
    <s v="Medellín"/>
    <n v="4400000"/>
    <x v="11"/>
    <x v="13"/>
    <x v="0"/>
    <m/>
  </r>
  <r>
    <x v="0"/>
    <s v="E015"/>
    <n v="21"/>
    <n v="6"/>
    <n v="180000"/>
    <n v="20000"/>
    <x v="14"/>
    <s v="Coordinador"/>
    <x v="2"/>
    <s v="Cali"/>
    <n v="4200000"/>
    <x v="5"/>
    <x v="14"/>
    <x v="0"/>
    <m/>
  </r>
  <r>
    <x v="1"/>
    <m/>
    <m/>
    <m/>
    <m/>
    <m/>
    <x v="15"/>
    <m/>
    <x v="7"/>
    <m/>
    <n v="100"/>
    <x v="12"/>
    <x v="15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182885-145E-46CF-8DB1-4B3469F71117}" name="TablaDinámica1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6">
  <location ref="A3:H18" firstHeaderRow="1" firstDataRow="2" firstDataCol="1" rowPageCount="1" colPageCount="1"/>
  <pivotFields count="15"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7">
        <item x="3"/>
        <item x="2"/>
        <item x="7"/>
        <item x="13"/>
        <item x="6"/>
        <item x="11"/>
        <item x="5"/>
        <item x="1"/>
        <item x="12"/>
        <item x="0"/>
        <item x="8"/>
        <item x="4"/>
        <item x="10"/>
        <item x="9"/>
        <item x="14"/>
        <item x="15"/>
        <item t="default"/>
      </items>
    </pivotField>
    <pivotField showAll="0"/>
    <pivotField axis="axisCol" showAll="0">
      <items count="9">
        <item x="6"/>
        <item x="3"/>
        <item x="5"/>
        <item x="4"/>
        <item x="2"/>
        <item x="0"/>
        <item h="1" x="1"/>
        <item h="1" x="7"/>
        <item t="default"/>
      </items>
    </pivotField>
    <pivotField showAll="0"/>
    <pivotField showAll="0"/>
    <pivotField showAll="0">
      <items count="14">
        <item x="10"/>
        <item x="9"/>
        <item x="7"/>
        <item x="4"/>
        <item x="3"/>
        <item x="5"/>
        <item x="6"/>
        <item x="1"/>
        <item x="8"/>
        <item x="0"/>
        <item x="11"/>
        <item x="2"/>
        <item x="12"/>
        <item t="default"/>
      </items>
    </pivotField>
    <pivotField dataField="1" showAll="0">
      <items count="17">
        <item x="11"/>
        <item x="10"/>
        <item x="7"/>
        <item x="2"/>
        <item x="9"/>
        <item x="4"/>
        <item x="6"/>
        <item x="12"/>
        <item x="1"/>
        <item x="8"/>
        <item x="14"/>
        <item x="0"/>
        <item x="5"/>
        <item x="3"/>
        <item x="13"/>
        <item x="15"/>
        <item t="default"/>
      </items>
    </pivotField>
    <pivotField showAll="0">
      <items count="4">
        <item x="0"/>
        <item x="1"/>
        <item h="1" x="2"/>
        <item t="default"/>
      </items>
    </pivotField>
    <pivotField showAll="0"/>
  </pivotFields>
  <rowFields count="1">
    <field x="6"/>
  </rowFields>
  <rowItems count="14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0" item="0" hier="-1"/>
  </pageFields>
  <dataFields count="1">
    <dataField name="Suma de Salario total" fld="12" baseField="0" baseItem="0"/>
  </dataFields>
  <chartFormats count="12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do" xr10:uid="{79A0C324-F1E3-4A53-A5AC-680AD43A3858}" sourceName="Estado">
  <pivotTables>
    <pivotTable tabId="3" name="TablaDinámica1"/>
  </pivotTables>
  <data>
    <tabular pivotCacheId="196113313">
      <items count="3">
        <i x="0" s="1"/>
        <i x="1" s="1"/>
        <i x="2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rea" xr10:uid="{15275EC2-D30E-4676-9652-A25911517420}" sourceName="Area">
  <pivotTables>
    <pivotTable tabId="3" name="TablaDinámica1"/>
  </pivotTables>
  <data>
    <tabular pivotCacheId="196113313">
      <items count="8">
        <i x="6" s="1"/>
        <i x="3" s="1"/>
        <i x="5" s="1"/>
        <i x="4" s="1"/>
        <i x="2" s="1"/>
        <i x="0" s="1"/>
        <i x="1"/>
        <i x="7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stado" xr10:uid="{9129B2F2-ADE9-4E6E-A4D1-E1547ED495F9}" cache="SegmentaciónDeDatos_Estado" caption="Estado" style="SlicerStyleDark6" rowHeight="241300"/>
  <slicer name="Area" xr10:uid="{4E44A747-C2B2-4CD8-B9E9-5CB9568D711D}" cache="SegmentaciónDeDatos_Area" caption="Area" startItem="1" style="SlicerStyleDark6" rowHeight="24130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2BA65-EC1D-428F-9B13-376B042358F7}">
  <dimension ref="A1:F16"/>
  <sheetViews>
    <sheetView workbookViewId="0">
      <selection activeCell="I4" sqref="I4"/>
    </sheetView>
  </sheetViews>
  <sheetFormatPr baseColWidth="10" defaultRowHeight="15" x14ac:dyDescent="0.25"/>
  <cols>
    <col min="6" max="6" width="13.140625" style="45" bestFit="1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4" t="s">
        <v>5</v>
      </c>
    </row>
    <row r="2" spans="1:6" ht="30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46">
        <v>4200000</v>
      </c>
    </row>
    <row r="3" spans="1:6" x14ac:dyDescent="0.25">
      <c r="A3" s="2" t="s">
        <v>11</v>
      </c>
      <c r="B3" s="2" t="s">
        <v>12</v>
      </c>
      <c r="C3" s="2" t="s">
        <v>8</v>
      </c>
      <c r="D3" s="2" t="s">
        <v>13</v>
      </c>
      <c r="E3" s="2" t="s">
        <v>14</v>
      </c>
      <c r="F3" s="46">
        <v>3900000</v>
      </c>
    </row>
    <row r="4" spans="1:6" ht="30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46">
        <v>3200000</v>
      </c>
    </row>
    <row r="5" spans="1:6" x14ac:dyDescent="0.25">
      <c r="A5" s="2" t="s">
        <v>20</v>
      </c>
      <c r="B5" s="2" t="s">
        <v>21</v>
      </c>
      <c r="C5" s="2" t="s">
        <v>17</v>
      </c>
      <c r="D5" s="2" t="s">
        <v>22</v>
      </c>
      <c r="E5" s="2" t="s">
        <v>10</v>
      </c>
      <c r="F5" s="46">
        <v>4500000</v>
      </c>
    </row>
    <row r="6" spans="1:6" ht="30" x14ac:dyDescent="0.25">
      <c r="A6" s="2" t="s">
        <v>23</v>
      </c>
      <c r="B6" s="2" t="s">
        <v>24</v>
      </c>
      <c r="C6" s="2" t="s">
        <v>25</v>
      </c>
      <c r="D6" s="2" t="s">
        <v>13</v>
      </c>
      <c r="E6" s="2" t="s">
        <v>14</v>
      </c>
      <c r="F6" s="46">
        <v>3500000</v>
      </c>
    </row>
    <row r="7" spans="1:6" ht="30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10</v>
      </c>
      <c r="F7" s="46">
        <v>4300000</v>
      </c>
    </row>
    <row r="8" spans="1:6" ht="30" x14ac:dyDescent="0.25">
      <c r="A8" s="2" t="s">
        <v>30</v>
      </c>
      <c r="B8" s="2" t="s">
        <v>31</v>
      </c>
      <c r="C8" s="2" t="s">
        <v>32</v>
      </c>
      <c r="D8" s="2" t="s">
        <v>33</v>
      </c>
      <c r="E8" s="2" t="s">
        <v>19</v>
      </c>
      <c r="F8" s="46">
        <v>3600000</v>
      </c>
    </row>
    <row r="9" spans="1:6" ht="30" x14ac:dyDescent="0.25">
      <c r="A9" s="2" t="s">
        <v>34</v>
      </c>
      <c r="B9" s="2" t="s">
        <v>35</v>
      </c>
      <c r="C9" s="2" t="s">
        <v>8</v>
      </c>
      <c r="D9" s="2" t="s">
        <v>36</v>
      </c>
      <c r="E9" s="2" t="s">
        <v>37</v>
      </c>
      <c r="F9" s="46">
        <v>3100000</v>
      </c>
    </row>
    <row r="10" spans="1:6" ht="30" x14ac:dyDescent="0.25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10</v>
      </c>
      <c r="F10" s="46">
        <v>4100000</v>
      </c>
    </row>
    <row r="11" spans="1:6" ht="30" x14ac:dyDescent="0.25">
      <c r="A11" s="2" t="s">
        <v>42</v>
      </c>
      <c r="B11" s="2" t="s">
        <v>43</v>
      </c>
      <c r="C11" s="2" t="s">
        <v>44</v>
      </c>
      <c r="D11" s="2" t="s">
        <v>13</v>
      </c>
      <c r="E11" s="2" t="s">
        <v>14</v>
      </c>
      <c r="F11" s="46">
        <v>3400000</v>
      </c>
    </row>
    <row r="12" spans="1:6" ht="30" x14ac:dyDescent="0.25">
      <c r="A12" s="2" t="s">
        <v>45</v>
      </c>
      <c r="B12" s="2" t="s">
        <v>46</v>
      </c>
      <c r="C12" s="2" t="s">
        <v>32</v>
      </c>
      <c r="D12" s="2" t="s">
        <v>47</v>
      </c>
      <c r="E12" s="2" t="s">
        <v>19</v>
      </c>
      <c r="F12" s="46">
        <v>3000000</v>
      </c>
    </row>
    <row r="13" spans="1:6" ht="30" x14ac:dyDescent="0.25">
      <c r="A13" s="2" t="s">
        <v>48</v>
      </c>
      <c r="B13" s="2" t="s">
        <v>49</v>
      </c>
      <c r="C13" s="2" t="s">
        <v>40</v>
      </c>
      <c r="D13" s="2" t="s">
        <v>50</v>
      </c>
      <c r="E13" s="2" t="s">
        <v>37</v>
      </c>
      <c r="F13" s="46">
        <v>2500000</v>
      </c>
    </row>
    <row r="14" spans="1:6" ht="30" x14ac:dyDescent="0.25">
      <c r="A14" s="2" t="s">
        <v>51</v>
      </c>
      <c r="B14" s="2" t="s">
        <v>52</v>
      </c>
      <c r="C14" s="2" t="s">
        <v>28</v>
      </c>
      <c r="D14" s="2" t="s">
        <v>13</v>
      </c>
      <c r="E14" s="2" t="s">
        <v>10</v>
      </c>
      <c r="F14" s="46">
        <v>3800000</v>
      </c>
    </row>
    <row r="15" spans="1:6" ht="30" x14ac:dyDescent="0.25">
      <c r="A15" s="2" t="s">
        <v>53</v>
      </c>
      <c r="B15" s="2" t="s">
        <v>54</v>
      </c>
      <c r="C15" s="2" t="s">
        <v>8</v>
      </c>
      <c r="D15" s="2" t="s">
        <v>9</v>
      </c>
      <c r="E15" s="2" t="s">
        <v>14</v>
      </c>
      <c r="F15" s="46">
        <v>4400000</v>
      </c>
    </row>
    <row r="16" spans="1:6" ht="30" x14ac:dyDescent="0.25">
      <c r="A16" s="2" t="s">
        <v>55</v>
      </c>
      <c r="B16" s="2" t="s">
        <v>56</v>
      </c>
      <c r="C16" s="2" t="s">
        <v>25</v>
      </c>
      <c r="D16" s="2" t="s">
        <v>41</v>
      </c>
      <c r="E16" s="2" t="s">
        <v>19</v>
      </c>
      <c r="F16" s="46">
        <v>4200000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307A5-063B-4BFC-92C8-944345E8046F}">
  <dimension ref="A1:O17"/>
  <sheetViews>
    <sheetView topLeftCell="B1" workbookViewId="0">
      <selection activeCell="P11" sqref="P11"/>
    </sheetView>
  </sheetViews>
  <sheetFormatPr baseColWidth="10" defaultRowHeight="15" x14ac:dyDescent="0.25"/>
  <cols>
    <col min="5" max="5" width="11.42578125" style="49"/>
    <col min="7" max="7" width="12.85546875" customWidth="1"/>
    <col min="8" max="8" width="13.140625" customWidth="1"/>
    <col min="9" max="9" width="17" customWidth="1"/>
    <col min="11" max="11" width="13.140625" style="49" bestFit="1" customWidth="1"/>
    <col min="12" max="12" width="13.5703125" style="49" customWidth="1"/>
    <col min="13" max="13" width="13.28515625" style="49" customWidth="1"/>
    <col min="14" max="14" width="13.5703125" customWidth="1"/>
  </cols>
  <sheetData>
    <row r="1" spans="1:15" ht="30" x14ac:dyDescent="0.25">
      <c r="A1" s="1" t="s">
        <v>57</v>
      </c>
      <c r="B1" s="1" t="s">
        <v>0</v>
      </c>
      <c r="C1" s="1" t="s">
        <v>58</v>
      </c>
      <c r="D1" s="1" t="s">
        <v>59</v>
      </c>
      <c r="E1" s="47" t="s">
        <v>60</v>
      </c>
      <c r="F1" s="1" t="s">
        <v>61</v>
      </c>
      <c r="G1" s="1" t="s">
        <v>1</v>
      </c>
      <c r="H1" s="1" t="s">
        <v>3</v>
      </c>
      <c r="I1" s="1" t="s">
        <v>62</v>
      </c>
      <c r="J1" s="1" t="s">
        <v>4</v>
      </c>
      <c r="K1" s="47" t="s">
        <v>63</v>
      </c>
      <c r="L1" s="47" t="s">
        <v>64</v>
      </c>
      <c r="M1" s="47" t="s">
        <v>65</v>
      </c>
      <c r="N1" s="1" t="s">
        <v>66</v>
      </c>
      <c r="O1" s="1"/>
    </row>
    <row r="2" spans="1:15" x14ac:dyDescent="0.25">
      <c r="A2" s="3">
        <v>46204</v>
      </c>
      <c r="B2" s="2" t="s">
        <v>6</v>
      </c>
      <c r="C2" s="2">
        <v>22</v>
      </c>
      <c r="D2" s="2">
        <v>10</v>
      </c>
      <c r="E2" s="48">
        <v>250000</v>
      </c>
      <c r="F2" s="2">
        <v>50000</v>
      </c>
      <c r="G2" t="str">
        <f>_xlfn.XLOOKUP(B2,BD!A:A,BD!B:B)</f>
        <v>Laura Gómez</v>
      </c>
      <c r="H2" t="str">
        <f>_xlfn.XLOOKUP(B2,BD!A:A,BD!D:D)</f>
        <v>Desarrollador</v>
      </c>
      <c r="I2" t="str">
        <f>_xlfn.XLOOKUP(B2,BD!A:A,BD!C:C)</f>
        <v>Tecnología</v>
      </c>
      <c r="J2" t="str">
        <f>_xlfn.XLOOKUP(B2,BD!A:A,BD!E:E)</f>
        <v>Bogotá</v>
      </c>
      <c r="K2" s="49">
        <f>_xlfn.XLOOKUP(B2,BD!A:A,BD!F:F)</f>
        <v>4200000</v>
      </c>
      <c r="L2" s="49">
        <f>D2*17500</f>
        <v>175000</v>
      </c>
      <c r="M2" s="49">
        <f>K2+L2+E2</f>
        <v>4625000</v>
      </c>
      <c r="N2" t="str">
        <f>IFERROR(_xlfn.IFS(M2&gt;4000000, "SALARIO ALTO",M2&gt;0, "SALARIO BAJO"),"SIN DATOS")</f>
        <v>SALARIO ALTO</v>
      </c>
    </row>
    <row r="3" spans="1:15" x14ac:dyDescent="0.25">
      <c r="A3" s="3">
        <v>46204</v>
      </c>
      <c r="B3" s="2" t="s">
        <v>11</v>
      </c>
      <c r="C3" s="2">
        <v>21</v>
      </c>
      <c r="D3" s="2">
        <v>8</v>
      </c>
      <c r="E3" s="48">
        <v>180000</v>
      </c>
      <c r="F3" s="2">
        <v>0</v>
      </c>
      <c r="G3" t="str">
        <f>_xlfn.XLOOKUP(B3,BD!A:A,BD!B:B)</f>
        <v>Juan Pérez</v>
      </c>
      <c r="H3" t="str">
        <f>_xlfn.XLOOKUP(B3,BD!A:A,BD!D:D)</f>
        <v>Analista</v>
      </c>
      <c r="I3" t="str">
        <f>_xlfn.XLOOKUP(B3,BD!A:A,BD!C:C)</f>
        <v>Tecnología</v>
      </c>
      <c r="J3" t="str">
        <f>_xlfn.XLOOKUP(B3,BD!A:A,BD!E:E)</f>
        <v>Medellín</v>
      </c>
      <c r="K3" s="49">
        <f>_xlfn.XLOOKUP(B3,BD!A:A,BD!F:F)</f>
        <v>3900000</v>
      </c>
      <c r="L3" s="49">
        <f t="shared" ref="L3:L16" si="0">D3*17500</f>
        <v>140000</v>
      </c>
      <c r="M3" s="49">
        <f t="shared" ref="M3:M16" si="1">K3+L3+E3</f>
        <v>4220000</v>
      </c>
      <c r="N3" t="str">
        <f t="shared" ref="N3:N17" si="2">IFERROR(_xlfn.IFS(M3&gt;4000000, "SALARIO ALTO",M3&gt;0, "SALARIO BAJO"),"SIN DATOS")</f>
        <v>SALARIO ALTO</v>
      </c>
    </row>
    <row r="4" spans="1:15" x14ac:dyDescent="0.25">
      <c r="A4" s="3">
        <v>46204</v>
      </c>
      <c r="B4" s="2" t="s">
        <v>15</v>
      </c>
      <c r="C4" s="2">
        <v>23</v>
      </c>
      <c r="D4" s="2">
        <v>12</v>
      </c>
      <c r="E4" s="48">
        <v>300000</v>
      </c>
      <c r="F4" s="2">
        <v>20000</v>
      </c>
      <c r="G4" t="str">
        <f>_xlfn.XLOOKUP(B4,BD!A:A,BD!B:B)</f>
        <v>Camila Torres</v>
      </c>
      <c r="H4" t="str">
        <f>_xlfn.XLOOKUP(B4,BD!A:A,BD!D:D)</f>
        <v>Ejecutivo</v>
      </c>
      <c r="I4" t="str">
        <f>_xlfn.XLOOKUP(B4,BD!A:A,BD!C:C)</f>
        <v>Ventas</v>
      </c>
      <c r="J4" t="str">
        <f>_xlfn.XLOOKUP(B4,BD!A:A,BD!E:E)</f>
        <v>Cali</v>
      </c>
      <c r="K4" s="49">
        <f>_xlfn.XLOOKUP(B4,BD!A:A,BD!F:F)</f>
        <v>3200000</v>
      </c>
      <c r="L4" s="49">
        <f t="shared" si="0"/>
        <v>210000</v>
      </c>
      <c r="M4" s="49">
        <f t="shared" si="1"/>
        <v>3710000</v>
      </c>
      <c r="N4" t="str">
        <f t="shared" si="2"/>
        <v>SALARIO BAJO</v>
      </c>
    </row>
    <row r="5" spans="1:15" x14ac:dyDescent="0.25">
      <c r="A5" s="3">
        <v>46204</v>
      </c>
      <c r="B5" s="2" t="s">
        <v>20</v>
      </c>
      <c r="C5" s="2">
        <v>22</v>
      </c>
      <c r="D5" s="2">
        <v>5</v>
      </c>
      <c r="E5" s="48">
        <v>150000</v>
      </c>
      <c r="F5" s="2">
        <v>0</v>
      </c>
      <c r="G5" t="str">
        <f>_xlfn.XLOOKUP(B5,BD!A:A,BD!B:B)</f>
        <v>Andrés Ruiz</v>
      </c>
      <c r="H5" t="str">
        <f>_xlfn.XLOOKUP(B5,BD!A:A,BD!D:D)</f>
        <v>Supervisor</v>
      </c>
      <c r="I5" t="str">
        <f>_xlfn.XLOOKUP(B5,BD!A:A,BD!C:C)</f>
        <v>Ventas</v>
      </c>
      <c r="J5" t="str">
        <f>_xlfn.XLOOKUP(B5,BD!A:A,BD!E:E)</f>
        <v>Bogotá</v>
      </c>
      <c r="K5" s="49">
        <f>_xlfn.XLOOKUP(B5,BD!A:A,BD!F:F)</f>
        <v>4500000</v>
      </c>
      <c r="L5" s="49">
        <f t="shared" si="0"/>
        <v>87500</v>
      </c>
      <c r="M5" s="49">
        <f t="shared" si="1"/>
        <v>4737500</v>
      </c>
      <c r="N5" t="str">
        <f t="shared" si="2"/>
        <v>SALARIO ALTO</v>
      </c>
    </row>
    <row r="6" spans="1:15" x14ac:dyDescent="0.25">
      <c r="A6" s="3">
        <v>46204</v>
      </c>
      <c r="B6" s="2" t="s">
        <v>23</v>
      </c>
      <c r="C6" s="2">
        <v>20</v>
      </c>
      <c r="D6" s="2">
        <v>4</v>
      </c>
      <c r="E6" s="48">
        <v>120000</v>
      </c>
      <c r="F6" s="2">
        <v>30000</v>
      </c>
      <c r="G6" t="str">
        <f>_xlfn.XLOOKUP(B6,BD!A:A,BD!B:B)</f>
        <v>Natalia Díaz</v>
      </c>
      <c r="H6" t="str">
        <f>_xlfn.XLOOKUP(B6,BD!A:A,BD!D:D)</f>
        <v>Analista</v>
      </c>
      <c r="I6" t="str">
        <f>_xlfn.XLOOKUP(B6,BD!A:A,BD!C:C)</f>
        <v>Recursos Humanos</v>
      </c>
      <c r="J6" t="str">
        <f>_xlfn.XLOOKUP(B6,BD!A:A,BD!E:E)</f>
        <v>Medellín</v>
      </c>
      <c r="K6" s="49">
        <f>_xlfn.XLOOKUP(B6,BD!A:A,BD!F:F)</f>
        <v>3500000</v>
      </c>
      <c r="L6" s="49">
        <f t="shared" si="0"/>
        <v>70000</v>
      </c>
      <c r="M6" s="49">
        <f t="shared" si="1"/>
        <v>3690000</v>
      </c>
      <c r="N6" t="str">
        <f t="shared" si="2"/>
        <v>SALARIO BAJO</v>
      </c>
    </row>
    <row r="7" spans="1:15" x14ac:dyDescent="0.25">
      <c r="A7" s="3">
        <v>46204</v>
      </c>
      <c r="B7" s="2" t="s">
        <v>26</v>
      </c>
      <c r="C7" s="2">
        <v>22</v>
      </c>
      <c r="D7" s="2">
        <v>6</v>
      </c>
      <c r="E7" s="48">
        <v>200000</v>
      </c>
      <c r="F7" s="2">
        <v>0</v>
      </c>
      <c r="G7" t="str">
        <f>_xlfn.XLOOKUP(B7,BD!A:A,BD!B:B)</f>
        <v>Felipe Castro</v>
      </c>
      <c r="H7" t="str">
        <f>_xlfn.XLOOKUP(B7,BD!A:A,BD!D:D)</f>
        <v>Contador</v>
      </c>
      <c r="I7" t="str">
        <f>_xlfn.XLOOKUP(B7,BD!A:A,BD!C:C)</f>
        <v>Finanzas</v>
      </c>
      <c r="J7" t="str">
        <f>_xlfn.XLOOKUP(B7,BD!A:A,BD!E:E)</f>
        <v>Bogotá</v>
      </c>
      <c r="K7" s="49">
        <f>_xlfn.XLOOKUP(B7,BD!A:A,BD!F:F)</f>
        <v>4300000</v>
      </c>
      <c r="L7" s="49">
        <f t="shared" si="0"/>
        <v>105000</v>
      </c>
      <c r="M7" s="49">
        <f t="shared" si="1"/>
        <v>4605000</v>
      </c>
      <c r="N7" t="str">
        <f t="shared" si="2"/>
        <v>SALARIO ALTO</v>
      </c>
    </row>
    <row r="8" spans="1:15" x14ac:dyDescent="0.25">
      <c r="A8" s="3">
        <v>46204</v>
      </c>
      <c r="B8" s="2" t="s">
        <v>30</v>
      </c>
      <c r="C8" s="2">
        <v>21</v>
      </c>
      <c r="D8" s="2">
        <v>7</v>
      </c>
      <c r="E8" s="48">
        <v>180000</v>
      </c>
      <c r="F8" s="2">
        <v>25000</v>
      </c>
      <c r="G8" t="str">
        <f>_xlfn.XLOOKUP(B8,BD!A:A,BD!B:B)</f>
        <v>Daniela Rojas</v>
      </c>
      <c r="H8" t="str">
        <f>_xlfn.XLOOKUP(B8,BD!A:A,BD!D:D)</f>
        <v>Diseñador</v>
      </c>
      <c r="I8" t="str">
        <f>_xlfn.XLOOKUP(B8,BD!A:A,BD!C:C)</f>
        <v>Marketing</v>
      </c>
      <c r="J8" t="str">
        <f>_xlfn.XLOOKUP(B8,BD!A:A,BD!E:E)</f>
        <v>Cali</v>
      </c>
      <c r="K8" s="49">
        <f>_xlfn.XLOOKUP(B8,BD!A:A,BD!F:F)</f>
        <v>3600000</v>
      </c>
      <c r="L8" s="49">
        <f t="shared" si="0"/>
        <v>122500</v>
      </c>
      <c r="M8" s="49">
        <f t="shared" si="1"/>
        <v>3902500</v>
      </c>
      <c r="N8" t="str">
        <f t="shared" si="2"/>
        <v>SALARIO BAJO</v>
      </c>
    </row>
    <row r="9" spans="1:15" x14ac:dyDescent="0.25">
      <c r="A9" s="3">
        <v>46204</v>
      </c>
      <c r="B9" s="2" t="s">
        <v>34</v>
      </c>
      <c r="C9" s="2">
        <v>22</v>
      </c>
      <c r="D9" s="2">
        <v>3</v>
      </c>
      <c r="E9" s="48">
        <v>90000</v>
      </c>
      <c r="F9" s="2">
        <v>0</v>
      </c>
      <c r="G9" t="str">
        <f>_xlfn.XLOOKUP(B9,BD!A:A,BD!B:B)</f>
        <v>Carlos Herrera</v>
      </c>
      <c r="H9" t="str">
        <f>_xlfn.XLOOKUP(B9,BD!A:A,BD!D:D)</f>
        <v>Soporte</v>
      </c>
      <c r="I9" t="str">
        <f>_xlfn.XLOOKUP(B9,BD!A:A,BD!C:C)</f>
        <v>Tecnología</v>
      </c>
      <c r="J9" t="str">
        <f>_xlfn.XLOOKUP(B9,BD!A:A,BD!E:E)</f>
        <v>Barranquilla</v>
      </c>
      <c r="K9" s="49">
        <f>_xlfn.XLOOKUP(B9,BD!A:A,BD!F:F)</f>
        <v>3100000</v>
      </c>
      <c r="L9" s="49">
        <f t="shared" si="0"/>
        <v>52500</v>
      </c>
      <c r="M9" s="49">
        <f t="shared" si="1"/>
        <v>3242500</v>
      </c>
      <c r="N9" t="str">
        <f t="shared" si="2"/>
        <v>SALARIO BAJO</v>
      </c>
    </row>
    <row r="10" spans="1:15" x14ac:dyDescent="0.25">
      <c r="A10" s="3">
        <v>46204</v>
      </c>
      <c r="B10" s="2" t="s">
        <v>38</v>
      </c>
      <c r="C10" s="2">
        <v>23</v>
      </c>
      <c r="D10" s="2">
        <v>9</v>
      </c>
      <c r="E10" s="48">
        <v>230000</v>
      </c>
      <c r="F10" s="2">
        <v>0</v>
      </c>
      <c r="G10" t="str">
        <f>_xlfn.XLOOKUP(B10,BD!A:A,BD!B:B)</f>
        <v>María López</v>
      </c>
      <c r="H10" t="str">
        <f>_xlfn.XLOOKUP(B10,BD!A:A,BD!D:D)</f>
        <v>Coordinador</v>
      </c>
      <c r="I10" t="str">
        <f>_xlfn.XLOOKUP(B10,BD!A:A,BD!C:C)</f>
        <v>Logística</v>
      </c>
      <c r="J10" t="str">
        <f>_xlfn.XLOOKUP(B10,BD!A:A,BD!E:E)</f>
        <v>Bogotá</v>
      </c>
      <c r="K10" s="49">
        <f>_xlfn.XLOOKUP(B10,BD!A:A,BD!F:F)</f>
        <v>4100000</v>
      </c>
      <c r="L10" s="49">
        <f t="shared" si="0"/>
        <v>157500</v>
      </c>
      <c r="M10" s="49">
        <f t="shared" si="1"/>
        <v>4487500</v>
      </c>
      <c r="N10" t="str">
        <f t="shared" si="2"/>
        <v>SALARIO ALTO</v>
      </c>
    </row>
    <row r="11" spans="1:15" x14ac:dyDescent="0.25">
      <c r="A11" s="3">
        <v>46204</v>
      </c>
      <c r="B11" s="2" t="s">
        <v>42</v>
      </c>
      <c r="C11" s="2">
        <v>20</v>
      </c>
      <c r="D11" s="2">
        <v>2</v>
      </c>
      <c r="E11" s="48">
        <v>80000</v>
      </c>
      <c r="F11" s="2">
        <v>15000</v>
      </c>
      <c r="G11" t="str">
        <f>_xlfn.XLOOKUP(B11,BD!A:A,BD!B:B)</f>
        <v>Sebastián Gil</v>
      </c>
      <c r="H11" t="str">
        <f>_xlfn.XLOOKUP(B11,BD!A:A,BD!D:D)</f>
        <v>Analista</v>
      </c>
      <c r="I11" t="str">
        <f>_xlfn.XLOOKUP(B11,BD!A:A,BD!C:C)</f>
        <v>Compras</v>
      </c>
      <c r="J11" t="str">
        <f>_xlfn.XLOOKUP(B11,BD!A:A,BD!E:E)</f>
        <v>Medellín</v>
      </c>
      <c r="K11" s="49">
        <f>_xlfn.XLOOKUP(B11,BD!A:A,BD!F:F)</f>
        <v>3400000</v>
      </c>
      <c r="L11" s="49">
        <f t="shared" si="0"/>
        <v>35000</v>
      </c>
      <c r="M11" s="49">
        <f t="shared" si="1"/>
        <v>3515000</v>
      </c>
      <c r="N11" t="str">
        <f t="shared" si="2"/>
        <v>SALARIO BAJO</v>
      </c>
    </row>
    <row r="12" spans="1:15" x14ac:dyDescent="0.25">
      <c r="A12" s="3">
        <v>46204</v>
      </c>
      <c r="B12" s="2" t="s">
        <v>45</v>
      </c>
      <c r="C12" s="2">
        <v>21</v>
      </c>
      <c r="D12" s="2">
        <v>4</v>
      </c>
      <c r="E12" s="48">
        <v>100000</v>
      </c>
      <c r="F12" s="2">
        <v>0</v>
      </c>
      <c r="G12" t="str">
        <f>_xlfn.XLOOKUP(B12,BD!A:A,BD!B:B)</f>
        <v>Paula Ramírez</v>
      </c>
      <c r="H12" t="str">
        <f>_xlfn.XLOOKUP(B12,BD!A:A,BD!D:D)</f>
        <v>Community Manager</v>
      </c>
      <c r="I12" t="str">
        <f>_xlfn.XLOOKUP(B12,BD!A:A,BD!C:C)</f>
        <v>Marketing</v>
      </c>
      <c r="J12" t="str">
        <f>_xlfn.XLOOKUP(B12,BD!A:A,BD!E:E)</f>
        <v>Cali</v>
      </c>
      <c r="K12" s="49">
        <f>_xlfn.XLOOKUP(B12,BD!A:A,BD!F:F)</f>
        <v>3000000</v>
      </c>
      <c r="L12" s="49">
        <f t="shared" si="0"/>
        <v>70000</v>
      </c>
      <c r="M12" s="49">
        <f t="shared" si="1"/>
        <v>3170000</v>
      </c>
      <c r="N12" t="str">
        <f t="shared" si="2"/>
        <v>SALARIO BAJO</v>
      </c>
    </row>
    <row r="13" spans="1:15" x14ac:dyDescent="0.25">
      <c r="A13" s="3">
        <v>46204</v>
      </c>
      <c r="B13" s="2" t="s">
        <v>48</v>
      </c>
      <c r="C13" s="2">
        <v>22</v>
      </c>
      <c r="D13" s="2">
        <v>1</v>
      </c>
      <c r="E13" s="48">
        <v>50000</v>
      </c>
      <c r="F13" s="2">
        <v>0</v>
      </c>
      <c r="G13" t="str">
        <f>_xlfn.XLOOKUP(B13,BD!A:A,BD!B:B)</f>
        <v>David Sánchez</v>
      </c>
      <c r="H13" t="str">
        <f>_xlfn.XLOOKUP(B13,BD!A:A,BD!D:D)</f>
        <v>Auxiliar</v>
      </c>
      <c r="I13" t="str">
        <f>_xlfn.XLOOKUP(B13,BD!A:A,BD!C:C)</f>
        <v>Logística</v>
      </c>
      <c r="J13" t="str">
        <f>_xlfn.XLOOKUP(B13,BD!A:A,BD!E:E)</f>
        <v>Barranquilla</v>
      </c>
      <c r="K13" s="49">
        <f>_xlfn.XLOOKUP(B13,BD!A:A,BD!F:F)</f>
        <v>2500000</v>
      </c>
      <c r="L13" s="49">
        <f t="shared" si="0"/>
        <v>17500</v>
      </c>
      <c r="M13" s="49">
        <f t="shared" si="1"/>
        <v>2567500</v>
      </c>
      <c r="N13" t="str">
        <f t="shared" si="2"/>
        <v>SALARIO BAJO</v>
      </c>
    </row>
    <row r="14" spans="1:15" x14ac:dyDescent="0.25">
      <c r="A14" s="3">
        <v>46204</v>
      </c>
      <c r="B14" s="2" t="s">
        <v>51</v>
      </c>
      <c r="C14" s="2">
        <v>22</v>
      </c>
      <c r="D14" s="2">
        <v>8</v>
      </c>
      <c r="E14" s="48">
        <v>220000</v>
      </c>
      <c r="F14" s="2">
        <v>10000</v>
      </c>
      <c r="G14" t="str">
        <f>_xlfn.XLOOKUP(B14,BD!A:A,BD!B:B)</f>
        <v>Juliana Mora</v>
      </c>
      <c r="H14" t="str">
        <f>_xlfn.XLOOKUP(B14,BD!A:A,BD!D:D)</f>
        <v>Analista</v>
      </c>
      <c r="I14" t="str">
        <f>_xlfn.XLOOKUP(B14,BD!A:A,BD!C:C)</f>
        <v>Finanzas</v>
      </c>
      <c r="J14" t="str">
        <f>_xlfn.XLOOKUP(B14,BD!A:A,BD!E:E)</f>
        <v>Bogotá</v>
      </c>
      <c r="K14" s="49">
        <f>_xlfn.XLOOKUP(B14,BD!A:A,BD!F:F)</f>
        <v>3800000</v>
      </c>
      <c r="L14" s="49">
        <f t="shared" si="0"/>
        <v>140000</v>
      </c>
      <c r="M14" s="49">
        <f t="shared" si="1"/>
        <v>4160000</v>
      </c>
      <c r="N14" t="str">
        <f t="shared" si="2"/>
        <v>SALARIO ALTO</v>
      </c>
    </row>
    <row r="15" spans="1:15" x14ac:dyDescent="0.25">
      <c r="A15" s="3">
        <v>46204</v>
      </c>
      <c r="B15" s="2" t="s">
        <v>53</v>
      </c>
      <c r="C15" s="2">
        <v>23</v>
      </c>
      <c r="D15" s="2">
        <v>11</v>
      </c>
      <c r="E15" s="48">
        <v>320000</v>
      </c>
      <c r="F15" s="2">
        <v>0</v>
      </c>
      <c r="G15" t="str">
        <f>_xlfn.XLOOKUP(B15,BD!A:A,BD!B:B)</f>
        <v>Cristian León</v>
      </c>
      <c r="H15" t="str">
        <f>_xlfn.XLOOKUP(B15,BD!A:A,BD!D:D)</f>
        <v>Desarrollador</v>
      </c>
      <c r="I15" t="str">
        <f>_xlfn.XLOOKUP(B15,BD!A:A,BD!C:C)</f>
        <v>Tecnología</v>
      </c>
      <c r="J15" t="str">
        <f>_xlfn.XLOOKUP(B15,BD!A:A,BD!E:E)</f>
        <v>Medellín</v>
      </c>
      <c r="K15" s="49">
        <f>_xlfn.XLOOKUP(B15,BD!A:A,BD!F:F)</f>
        <v>4400000</v>
      </c>
      <c r="L15" s="49">
        <f t="shared" si="0"/>
        <v>192500</v>
      </c>
      <c r="M15" s="49">
        <f t="shared" si="1"/>
        <v>4912500</v>
      </c>
      <c r="N15" t="str">
        <f t="shared" si="2"/>
        <v>SALARIO ALTO</v>
      </c>
    </row>
    <row r="16" spans="1:15" x14ac:dyDescent="0.25">
      <c r="A16" s="3">
        <v>46204</v>
      </c>
      <c r="B16" s="2" t="s">
        <v>55</v>
      </c>
      <c r="C16" s="2">
        <v>21</v>
      </c>
      <c r="D16" s="2">
        <v>6</v>
      </c>
      <c r="E16" s="48">
        <v>180000</v>
      </c>
      <c r="F16" s="2">
        <v>20000</v>
      </c>
      <c r="G16" t="str">
        <f>_xlfn.XLOOKUP(B16,BD!A:A,BD!B:B)</f>
        <v>Valentina Cruz</v>
      </c>
      <c r="H16" t="str">
        <f>_xlfn.XLOOKUP(B16,BD!A:A,BD!D:D)</f>
        <v>Coordinador</v>
      </c>
      <c r="I16" t="str">
        <f>_xlfn.XLOOKUP(B16,BD!A:A,BD!C:C)</f>
        <v>Recursos Humanos</v>
      </c>
      <c r="J16" t="str">
        <f>_xlfn.XLOOKUP(B16,BD!A:A,BD!E:E)</f>
        <v>Cali</v>
      </c>
      <c r="K16" s="49">
        <f>_xlfn.XLOOKUP(B16,BD!A:A,BD!F:F)</f>
        <v>4200000</v>
      </c>
      <c r="L16" s="49">
        <f t="shared" si="0"/>
        <v>105000</v>
      </c>
      <c r="M16" s="49">
        <f t="shared" si="1"/>
        <v>4485000</v>
      </c>
      <c r="N16" t="str">
        <f t="shared" si="2"/>
        <v>SALARIO ALTO</v>
      </c>
    </row>
    <row r="17" spans="11:14" x14ac:dyDescent="0.25">
      <c r="K17" s="49">
        <v>100</v>
      </c>
      <c r="N17" t="str">
        <f t="shared" si="2"/>
        <v>SIN DATOS</v>
      </c>
    </row>
  </sheetData>
  <conditionalFormatting sqref="N1:N1048576">
    <cfRule type="cellIs" dxfId="0" priority="3" operator="equal">
      <formula>"SALARIO BAJO"</formula>
    </cfRule>
    <cfRule type="cellIs" dxfId="1" priority="2" operator="equal">
      <formula>"SALARIO ALTO"</formula>
    </cfRule>
    <cfRule type="cellIs" dxfId="2" priority="1" operator="equal">
      <formula>"SIN DATOS"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7183-27E2-45E2-9DB2-16D850CE150C}">
  <dimension ref="A1:H18"/>
  <sheetViews>
    <sheetView workbookViewId="0">
      <selection activeCell="C21" sqref="C21"/>
    </sheetView>
  </sheetViews>
  <sheetFormatPr baseColWidth="10" defaultRowHeight="15" x14ac:dyDescent="0.25"/>
  <sheetData>
    <row r="1" spans="1:8" x14ac:dyDescent="0.25">
      <c r="A1" s="4" t="s">
        <v>57</v>
      </c>
      <c r="B1" s="7">
        <v>46204</v>
      </c>
    </row>
    <row r="3" spans="1:8" x14ac:dyDescent="0.25">
      <c r="A3" s="4" t="s">
        <v>70</v>
      </c>
      <c r="B3" s="4" t="s">
        <v>69</v>
      </c>
    </row>
    <row r="4" spans="1:8" x14ac:dyDescent="0.25">
      <c r="A4" s="4" t="s">
        <v>67</v>
      </c>
      <c r="B4" t="s">
        <v>44</v>
      </c>
      <c r="C4" t="s">
        <v>28</v>
      </c>
      <c r="D4" t="s">
        <v>40</v>
      </c>
      <c r="E4" t="s">
        <v>32</v>
      </c>
      <c r="F4" t="s">
        <v>25</v>
      </c>
      <c r="G4" t="s">
        <v>8</v>
      </c>
      <c r="H4" t="s">
        <v>68</v>
      </c>
    </row>
    <row r="5" spans="1:8" x14ac:dyDescent="0.25">
      <c r="A5" s="5" t="s">
        <v>35</v>
      </c>
      <c r="B5" s="6"/>
      <c r="C5" s="6"/>
      <c r="D5" s="6"/>
      <c r="E5" s="6"/>
      <c r="F5" s="6"/>
      <c r="G5" s="6">
        <v>3152500</v>
      </c>
      <c r="H5" s="6">
        <v>3152500</v>
      </c>
    </row>
    <row r="6" spans="1:8" x14ac:dyDescent="0.25">
      <c r="A6" s="5" t="s">
        <v>54</v>
      </c>
      <c r="B6" s="6"/>
      <c r="C6" s="6"/>
      <c r="D6" s="6"/>
      <c r="E6" s="6"/>
      <c r="F6" s="6"/>
      <c r="G6" s="6">
        <v>4592500</v>
      </c>
      <c r="H6" s="6">
        <v>4592500</v>
      </c>
    </row>
    <row r="7" spans="1:8" x14ac:dyDescent="0.25">
      <c r="A7" s="5" t="s">
        <v>31</v>
      </c>
      <c r="B7" s="6"/>
      <c r="C7" s="6"/>
      <c r="D7" s="6"/>
      <c r="E7" s="6">
        <v>3722500</v>
      </c>
      <c r="F7" s="6"/>
      <c r="G7" s="6"/>
      <c r="H7" s="6">
        <v>3722500</v>
      </c>
    </row>
    <row r="8" spans="1:8" x14ac:dyDescent="0.25">
      <c r="A8" s="5" t="s">
        <v>49</v>
      </c>
      <c r="B8" s="6"/>
      <c r="C8" s="6"/>
      <c r="D8" s="6">
        <v>2517500</v>
      </c>
      <c r="E8" s="6"/>
      <c r="F8" s="6"/>
      <c r="G8" s="6"/>
      <c r="H8" s="6">
        <v>2517500</v>
      </c>
    </row>
    <row r="9" spans="1:8" x14ac:dyDescent="0.25">
      <c r="A9" s="5" t="s">
        <v>27</v>
      </c>
      <c r="B9" s="6"/>
      <c r="C9" s="6">
        <v>4405000</v>
      </c>
      <c r="D9" s="6"/>
      <c r="E9" s="6"/>
      <c r="F9" s="6"/>
      <c r="G9" s="6"/>
      <c r="H9" s="6">
        <v>4405000</v>
      </c>
    </row>
    <row r="10" spans="1:8" x14ac:dyDescent="0.25">
      <c r="A10" s="5" t="s">
        <v>12</v>
      </c>
      <c r="B10" s="6"/>
      <c r="C10" s="6"/>
      <c r="D10" s="6"/>
      <c r="E10" s="6"/>
      <c r="F10" s="6"/>
      <c r="G10" s="6">
        <v>4040000</v>
      </c>
      <c r="H10" s="6">
        <v>4040000</v>
      </c>
    </row>
    <row r="11" spans="1:8" x14ac:dyDescent="0.25">
      <c r="A11" s="5" t="s">
        <v>52</v>
      </c>
      <c r="B11" s="6"/>
      <c r="C11" s="6">
        <v>3940000</v>
      </c>
      <c r="D11" s="6"/>
      <c r="E11" s="6"/>
      <c r="F11" s="6"/>
      <c r="G11" s="6"/>
      <c r="H11" s="6">
        <v>3940000</v>
      </c>
    </row>
    <row r="12" spans="1:8" x14ac:dyDescent="0.25">
      <c r="A12" s="5" t="s">
        <v>7</v>
      </c>
      <c r="B12" s="6"/>
      <c r="C12" s="6"/>
      <c r="D12" s="6"/>
      <c r="E12" s="6"/>
      <c r="F12" s="6"/>
      <c r="G12" s="6">
        <v>4375000</v>
      </c>
      <c r="H12" s="6">
        <v>4375000</v>
      </c>
    </row>
    <row r="13" spans="1:8" x14ac:dyDescent="0.25">
      <c r="A13" s="5" t="s">
        <v>39</v>
      </c>
      <c r="B13" s="6"/>
      <c r="C13" s="6"/>
      <c r="D13" s="6">
        <v>4257500</v>
      </c>
      <c r="E13" s="6"/>
      <c r="F13" s="6"/>
      <c r="G13" s="6"/>
      <c r="H13" s="6">
        <v>4257500</v>
      </c>
    </row>
    <row r="14" spans="1:8" x14ac:dyDescent="0.25">
      <c r="A14" s="5" t="s">
        <v>24</v>
      </c>
      <c r="B14" s="6"/>
      <c r="C14" s="6"/>
      <c r="D14" s="6"/>
      <c r="E14" s="6"/>
      <c r="F14" s="6">
        <v>3570000</v>
      </c>
      <c r="G14" s="6"/>
      <c r="H14" s="6">
        <v>3570000</v>
      </c>
    </row>
    <row r="15" spans="1:8" x14ac:dyDescent="0.25">
      <c r="A15" s="5" t="s">
        <v>46</v>
      </c>
      <c r="B15" s="6"/>
      <c r="C15" s="6"/>
      <c r="D15" s="6"/>
      <c r="E15" s="6">
        <v>3070000</v>
      </c>
      <c r="F15" s="6"/>
      <c r="G15" s="6"/>
      <c r="H15" s="6">
        <v>3070000</v>
      </c>
    </row>
    <row r="16" spans="1:8" x14ac:dyDescent="0.25">
      <c r="A16" s="5" t="s">
        <v>43</v>
      </c>
      <c r="B16" s="6">
        <v>3435000</v>
      </c>
      <c r="C16" s="6"/>
      <c r="D16" s="6"/>
      <c r="E16" s="6"/>
      <c r="F16" s="6"/>
      <c r="G16" s="6"/>
      <c r="H16" s="6">
        <v>3435000</v>
      </c>
    </row>
    <row r="17" spans="1:8" x14ac:dyDescent="0.25">
      <c r="A17" s="5" t="s">
        <v>56</v>
      </c>
      <c r="B17" s="6"/>
      <c r="C17" s="6"/>
      <c r="D17" s="6"/>
      <c r="E17" s="6"/>
      <c r="F17" s="6">
        <v>4305000</v>
      </c>
      <c r="G17" s="6"/>
      <c r="H17" s="6">
        <v>4305000</v>
      </c>
    </row>
    <row r="18" spans="1:8" x14ac:dyDescent="0.25">
      <c r="A18" s="5" t="s">
        <v>68</v>
      </c>
      <c r="B18" s="6">
        <v>3435000</v>
      </c>
      <c r="C18" s="6">
        <v>8345000</v>
      </c>
      <c r="D18" s="6">
        <v>6775000</v>
      </c>
      <c r="E18" s="6">
        <v>6792500</v>
      </c>
      <c r="F18" s="6">
        <v>7875000</v>
      </c>
      <c r="G18" s="6">
        <v>16160000</v>
      </c>
      <c r="H18" s="6">
        <v>49382500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C17C3-94D3-4378-BCF0-E06BCA7BB69B}">
  <dimension ref="D1:N48"/>
  <sheetViews>
    <sheetView showGridLines="0" tabSelected="1" topLeftCell="A25" zoomScale="90" zoomScaleNormal="90" workbookViewId="0">
      <selection activeCell="P32" sqref="P32"/>
    </sheetView>
  </sheetViews>
  <sheetFormatPr baseColWidth="10" defaultRowHeight="15" x14ac:dyDescent="0.25"/>
  <cols>
    <col min="1" max="1" width="19.7109375" bestFit="1" customWidth="1"/>
    <col min="2" max="2" width="22.42578125" bestFit="1" customWidth="1"/>
    <col min="3" max="4" width="8.5703125" bestFit="1" customWidth="1"/>
    <col min="5" max="5" width="10.140625" bestFit="1" customWidth="1"/>
    <col min="6" max="6" width="17.7109375" bestFit="1" customWidth="1"/>
    <col min="7" max="7" width="10.5703125" bestFit="1" customWidth="1"/>
    <col min="8" max="10" width="12.5703125" bestFit="1" customWidth="1"/>
    <col min="11" max="16" width="8" bestFit="1" customWidth="1"/>
    <col min="17" max="17" width="11" bestFit="1" customWidth="1"/>
    <col min="18" max="18" width="12.5703125" bestFit="1" customWidth="1"/>
  </cols>
  <sheetData>
    <row r="1" spans="4:14" ht="15" customHeight="1" x14ac:dyDescent="0.25">
      <c r="D1" s="42"/>
      <c r="E1" s="41" t="s">
        <v>76</v>
      </c>
      <c r="F1" s="41"/>
      <c r="G1" s="41"/>
      <c r="H1" s="41"/>
      <c r="I1" s="41"/>
      <c r="J1" s="41"/>
      <c r="K1" s="43"/>
    </row>
    <row r="2" spans="4:14" ht="15" customHeight="1" x14ac:dyDescent="0.25">
      <c r="D2" s="42"/>
      <c r="E2" s="41"/>
      <c r="F2" s="41"/>
      <c r="G2" s="41"/>
      <c r="H2" s="41"/>
      <c r="I2" s="41"/>
      <c r="J2" s="41"/>
      <c r="K2" s="43"/>
    </row>
    <row r="6" spans="4:14" ht="15" customHeight="1" x14ac:dyDescent="0.25">
      <c r="L6" s="8" t="s">
        <v>71</v>
      </c>
      <c r="M6" s="9"/>
      <c r="N6" s="10"/>
    </row>
    <row r="7" spans="4:14" ht="15" customHeight="1" x14ac:dyDescent="0.25">
      <c r="L7" s="11"/>
      <c r="M7" s="12"/>
      <c r="N7" s="13"/>
    </row>
    <row r="8" spans="4:14" ht="15" customHeight="1" x14ac:dyDescent="0.25">
      <c r="L8" s="20">
        <f>SUM(DATOS!M:M)</f>
        <v>60030000</v>
      </c>
      <c r="M8" s="21"/>
      <c r="N8" s="22"/>
    </row>
    <row r="9" spans="4:14" ht="15" customHeight="1" x14ac:dyDescent="0.25">
      <c r="L9" s="23"/>
      <c r="M9" s="24"/>
      <c r="N9" s="25"/>
    </row>
    <row r="10" spans="4:14" ht="15" customHeight="1" x14ac:dyDescent="0.25">
      <c r="L10" s="23"/>
      <c r="M10" s="24"/>
      <c r="N10" s="25"/>
    </row>
    <row r="11" spans="4:14" ht="15" customHeight="1" x14ac:dyDescent="0.25">
      <c r="L11" s="23"/>
      <c r="M11" s="24"/>
      <c r="N11" s="25"/>
    </row>
    <row r="12" spans="4:14" ht="15" customHeight="1" x14ac:dyDescent="0.25">
      <c r="L12" s="26"/>
      <c r="M12" s="27"/>
      <c r="N12" s="28"/>
    </row>
    <row r="15" spans="4:14" x14ac:dyDescent="0.25">
      <c r="L15" s="14" t="s">
        <v>72</v>
      </c>
      <c r="M15" s="15"/>
      <c r="N15" s="16"/>
    </row>
    <row r="16" spans="4:14" x14ac:dyDescent="0.25">
      <c r="L16" s="17"/>
      <c r="M16" s="18"/>
      <c r="N16" s="19"/>
    </row>
    <row r="17" spans="12:14" x14ac:dyDescent="0.25">
      <c r="L17" s="20">
        <f>MAX(DATOS!M:M)</f>
        <v>4912500</v>
      </c>
      <c r="M17" s="21"/>
      <c r="N17" s="22"/>
    </row>
    <row r="18" spans="12:14" x14ac:dyDescent="0.25">
      <c r="L18" s="23"/>
      <c r="M18" s="24"/>
      <c r="N18" s="25"/>
    </row>
    <row r="19" spans="12:14" x14ac:dyDescent="0.25">
      <c r="L19" s="23"/>
      <c r="M19" s="24"/>
      <c r="N19" s="25"/>
    </row>
    <row r="20" spans="12:14" x14ac:dyDescent="0.25">
      <c r="L20" s="23"/>
      <c r="M20" s="24"/>
      <c r="N20" s="25"/>
    </row>
    <row r="21" spans="12:14" x14ac:dyDescent="0.25">
      <c r="L21" s="26"/>
      <c r="M21" s="27"/>
      <c r="N21" s="28"/>
    </row>
    <row r="24" spans="12:14" x14ac:dyDescent="0.25">
      <c r="L24" s="8" t="s">
        <v>73</v>
      </c>
      <c r="M24" s="9"/>
      <c r="N24" s="10"/>
    </row>
    <row r="25" spans="12:14" x14ac:dyDescent="0.25">
      <c r="L25" s="11"/>
      <c r="M25" s="12"/>
      <c r="N25" s="13"/>
    </row>
    <row r="26" spans="12:14" x14ac:dyDescent="0.25">
      <c r="L26" s="20">
        <f>MIN(DATOS!M:M)</f>
        <v>2567500</v>
      </c>
      <c r="M26" s="21"/>
      <c r="N26" s="22"/>
    </row>
    <row r="27" spans="12:14" x14ac:dyDescent="0.25">
      <c r="L27" s="23"/>
      <c r="M27" s="24"/>
      <c r="N27" s="25"/>
    </row>
    <row r="28" spans="12:14" x14ac:dyDescent="0.25">
      <c r="L28" s="23"/>
      <c r="M28" s="24"/>
      <c r="N28" s="25"/>
    </row>
    <row r="29" spans="12:14" x14ac:dyDescent="0.25">
      <c r="L29" s="23"/>
      <c r="M29" s="24"/>
      <c r="N29" s="25"/>
    </row>
    <row r="30" spans="12:14" x14ac:dyDescent="0.25">
      <c r="L30" s="26"/>
      <c r="M30" s="27"/>
      <c r="N30" s="28"/>
    </row>
    <row r="33" spans="12:14" x14ac:dyDescent="0.25">
      <c r="L33" s="8" t="s">
        <v>74</v>
      </c>
      <c r="M33" s="9"/>
      <c r="N33" s="10"/>
    </row>
    <row r="34" spans="12:14" x14ac:dyDescent="0.25">
      <c r="L34" s="11"/>
      <c r="M34" s="12"/>
      <c r="N34" s="13"/>
    </row>
    <row r="35" spans="12:14" x14ac:dyDescent="0.25">
      <c r="L35" s="29">
        <f>SUM(DATOS!D:D)</f>
        <v>96</v>
      </c>
      <c r="M35" s="30"/>
      <c r="N35" s="31"/>
    </row>
    <row r="36" spans="12:14" x14ac:dyDescent="0.25">
      <c r="L36" s="32"/>
      <c r="M36" s="33"/>
      <c r="N36" s="34"/>
    </row>
    <row r="37" spans="12:14" x14ac:dyDescent="0.25">
      <c r="L37" s="32"/>
      <c r="M37" s="33"/>
      <c r="N37" s="34"/>
    </row>
    <row r="38" spans="12:14" x14ac:dyDescent="0.25">
      <c r="L38" s="32"/>
      <c r="M38" s="33"/>
      <c r="N38" s="34"/>
    </row>
    <row r="39" spans="12:14" x14ac:dyDescent="0.25">
      <c r="L39" s="35"/>
      <c r="M39" s="36"/>
      <c r="N39" s="37"/>
    </row>
    <row r="42" spans="12:14" x14ac:dyDescent="0.25">
      <c r="L42" s="8" t="s">
        <v>75</v>
      </c>
      <c r="M42" s="9"/>
      <c r="N42" s="10"/>
    </row>
    <row r="43" spans="12:14" x14ac:dyDescent="0.25">
      <c r="L43" s="38"/>
      <c r="M43" s="39"/>
      <c r="N43" s="40"/>
    </row>
    <row r="44" spans="12:14" x14ac:dyDescent="0.25">
      <c r="L44" s="23">
        <f>AVERAGE(DATOS!M:M)</f>
        <v>4002000</v>
      </c>
      <c r="M44" s="24"/>
      <c r="N44" s="25"/>
    </row>
    <row r="45" spans="12:14" x14ac:dyDescent="0.25">
      <c r="L45" s="23"/>
      <c r="M45" s="24"/>
      <c r="N45" s="25"/>
    </row>
    <row r="46" spans="12:14" x14ac:dyDescent="0.25">
      <c r="L46" s="23"/>
      <c r="M46" s="24"/>
      <c r="N46" s="25"/>
    </row>
    <row r="47" spans="12:14" x14ac:dyDescent="0.25">
      <c r="L47" s="23"/>
      <c r="M47" s="24"/>
      <c r="N47" s="25"/>
    </row>
    <row r="48" spans="12:14" x14ac:dyDescent="0.25">
      <c r="L48" s="26"/>
      <c r="M48" s="27"/>
      <c r="N48" s="28"/>
    </row>
  </sheetData>
  <mergeCells count="12">
    <mergeCell ref="D1:D2"/>
    <mergeCell ref="L33:N34"/>
    <mergeCell ref="L35:N39"/>
    <mergeCell ref="L42:N43"/>
    <mergeCell ref="L44:N48"/>
    <mergeCell ref="E1:J2"/>
    <mergeCell ref="L6:N7"/>
    <mergeCell ref="L8:N12"/>
    <mergeCell ref="L15:N16"/>
    <mergeCell ref="L17:N21"/>
    <mergeCell ref="L24:N25"/>
    <mergeCell ref="L26:N30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BD</vt:lpstr>
      <vt:lpstr>DATOS</vt:lpstr>
      <vt:lpstr>TABLA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Angie Buitrago</dc:creator>
  <cp:lastModifiedBy>Angie Buitrago</cp:lastModifiedBy>
  <dcterms:created xsi:type="dcterms:W3CDTF">2026-06-27T04:37:30Z</dcterms:created>
  <dcterms:modified xsi:type="dcterms:W3CDTF">2026-06-28T02:07:37Z</dcterms:modified>
</cp:coreProperties>
</file>