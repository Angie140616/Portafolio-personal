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gie\Downloads\"/>
    </mc:Choice>
  </mc:AlternateContent>
  <xr:revisionPtr revIDLastSave="0" documentId="8_{F1DEAD8A-569A-4D42-90F6-74AA3674FE94}" xr6:coauthVersionLast="47" xr6:coauthVersionMax="47" xr10:uidLastSave="{00000000-0000-0000-0000-000000000000}"/>
  <bookViews>
    <workbookView xWindow="-120" yWindow="-120" windowWidth="20730" windowHeight="11040" activeTab="2" xr2:uid="{1EA720C9-5D5D-417E-A01B-64F4F4E15285}"/>
  </bookViews>
  <sheets>
    <sheet name="Productos" sheetId="4" r:id="rId1"/>
    <sheet name="Ventas" sheetId="6" r:id="rId2"/>
    <sheet name="Dashboard " sheetId="8" r:id="rId3"/>
  </sheets>
  <definedNames>
    <definedName name="SegmentaciónDeDatos_Categoria">#N/A</definedName>
    <definedName name="SegmentaciónDeDatos_Ciudad">#N/A</definedName>
    <definedName name="SegmentaciónDeDatos_Vendedor">#N/A</definedName>
  </definedNames>
  <calcPr calcId="191029"/>
  <pivotCaches>
    <pivotCache cacheId="0" r:id="rId4"/>
    <pivotCache cacheId="1" r:id="rId5"/>
  </pivotCaches>
  <extLst>
    <ext xmlns:x14="http://schemas.microsoft.com/office/spreadsheetml/2009/9/main" uri="{BBE1A952-AA13-448e-AADC-164F8A28A991}">
      <x14:slicerCaches>
        <x14:slicerCache r:id="rId6"/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T6" i="8" l="1"/>
  <c r="T45" i="8"/>
  <c r="T32" i="8"/>
  <c r="T19" i="8"/>
  <c r="K3" i="6"/>
  <c r="M3" i="6" s="1"/>
  <c r="K4" i="6"/>
  <c r="M4" i="6" s="1"/>
  <c r="K5" i="6"/>
  <c r="M5" i="6" s="1"/>
  <c r="K6" i="6"/>
  <c r="M6" i="6" s="1"/>
  <c r="K7" i="6"/>
  <c r="M7" i="6" s="1"/>
  <c r="K8" i="6"/>
  <c r="M8" i="6" s="1"/>
  <c r="K9" i="6"/>
  <c r="M9" i="6" s="1"/>
  <c r="K10" i="6"/>
  <c r="M10" i="6" s="1"/>
  <c r="K11" i="6"/>
  <c r="M11" i="6" s="1"/>
  <c r="K12" i="6"/>
  <c r="M12" i="6" s="1"/>
  <c r="K13" i="6"/>
  <c r="M13" i="6" s="1"/>
  <c r="K14" i="6"/>
  <c r="M14" i="6" s="1"/>
  <c r="K15" i="6"/>
  <c r="M15" i="6" s="1"/>
  <c r="K16" i="6"/>
  <c r="M16" i="6" s="1"/>
  <c r="K17" i="6"/>
  <c r="M17" i="6" s="1"/>
  <c r="K18" i="6"/>
  <c r="M18" i="6" s="1"/>
  <c r="K19" i="6"/>
  <c r="M19" i="6" s="1"/>
  <c r="K20" i="6"/>
  <c r="M20" i="6" s="1"/>
  <c r="K21" i="6"/>
  <c r="M21" i="6" s="1"/>
  <c r="K22" i="6"/>
  <c r="M22" i="6" s="1"/>
  <c r="K23" i="6"/>
  <c r="M23" i="6" s="1"/>
  <c r="K24" i="6"/>
  <c r="M24" i="6" s="1"/>
  <c r="K25" i="6"/>
  <c r="M25" i="6" s="1"/>
  <c r="K26" i="6"/>
  <c r="M26" i="6" s="1"/>
  <c r="K27" i="6"/>
  <c r="M27" i="6" s="1"/>
  <c r="K28" i="6"/>
  <c r="M28" i="6" s="1"/>
  <c r="K29" i="6"/>
  <c r="M29" i="6" s="1"/>
  <c r="K30" i="6"/>
  <c r="M30" i="6" s="1"/>
  <c r="K31" i="6"/>
  <c r="M31" i="6" s="1"/>
  <c r="K32" i="6"/>
  <c r="M32" i="6" s="1"/>
  <c r="K33" i="6"/>
  <c r="M33" i="6" s="1"/>
  <c r="K34" i="6"/>
  <c r="M34" i="6" s="1"/>
  <c r="K35" i="6"/>
  <c r="M35" i="6" s="1"/>
  <c r="K36" i="6"/>
  <c r="M36" i="6" s="1"/>
  <c r="K37" i="6"/>
  <c r="M37" i="6" s="1"/>
  <c r="K38" i="6"/>
  <c r="M38" i="6" s="1"/>
  <c r="K39" i="6"/>
  <c r="M39" i="6" s="1"/>
  <c r="K40" i="6"/>
  <c r="M40" i="6" s="1"/>
  <c r="K41" i="6"/>
  <c r="M41" i="6" s="1"/>
  <c r="K42" i="6"/>
  <c r="M42" i="6" s="1"/>
  <c r="K43" i="6"/>
  <c r="M43" i="6" s="1"/>
  <c r="K44" i="6"/>
  <c r="M44" i="6" s="1"/>
  <c r="K45" i="6"/>
  <c r="M45" i="6" s="1"/>
  <c r="K46" i="6"/>
  <c r="M46" i="6" s="1"/>
  <c r="K47" i="6"/>
  <c r="M47" i="6" s="1"/>
  <c r="K48" i="6"/>
  <c r="M48" i="6" s="1"/>
  <c r="K49" i="6"/>
  <c r="M49" i="6" s="1"/>
  <c r="K50" i="6"/>
  <c r="M50" i="6" s="1"/>
  <c r="K51" i="6"/>
  <c r="M51" i="6" s="1"/>
  <c r="K52" i="6"/>
  <c r="M52" i="6" s="1"/>
  <c r="K53" i="6"/>
  <c r="M53" i="6" s="1"/>
  <c r="K54" i="6"/>
  <c r="M54" i="6" s="1"/>
  <c r="K55" i="6"/>
  <c r="M55" i="6" s="1"/>
  <c r="K56" i="6"/>
  <c r="M56" i="6" s="1"/>
  <c r="K57" i="6"/>
  <c r="M57" i="6" s="1"/>
  <c r="K58" i="6"/>
  <c r="M58" i="6" s="1"/>
  <c r="K59" i="6"/>
  <c r="M59" i="6" s="1"/>
  <c r="K60" i="6"/>
  <c r="M60" i="6" s="1"/>
  <c r="K61" i="6"/>
  <c r="M61" i="6" s="1"/>
  <c r="K62" i="6"/>
  <c r="M62" i="6" s="1"/>
  <c r="K2" i="6"/>
  <c r="M2" i="6" s="1"/>
  <c r="J3" i="6"/>
  <c r="L3" i="6" s="1"/>
  <c r="N3" i="6" s="1"/>
  <c r="O3" i="6" s="1"/>
  <c r="J4" i="6"/>
  <c r="L4" i="6" s="1"/>
  <c r="N4" i="6" s="1"/>
  <c r="O4" i="6" s="1"/>
  <c r="J5" i="6"/>
  <c r="L5" i="6" s="1"/>
  <c r="N5" i="6" s="1"/>
  <c r="O5" i="6" s="1"/>
  <c r="J6" i="6"/>
  <c r="L6" i="6" s="1"/>
  <c r="J7" i="6"/>
  <c r="L7" i="6" s="1"/>
  <c r="J8" i="6"/>
  <c r="L8" i="6" s="1"/>
  <c r="J9" i="6"/>
  <c r="L9" i="6" s="1"/>
  <c r="J10" i="6"/>
  <c r="L10" i="6" s="1"/>
  <c r="J11" i="6"/>
  <c r="L11" i="6" s="1"/>
  <c r="N11" i="6" s="1"/>
  <c r="O11" i="6" s="1"/>
  <c r="J12" i="6"/>
  <c r="L12" i="6" s="1"/>
  <c r="N12" i="6" s="1"/>
  <c r="O12" i="6" s="1"/>
  <c r="J13" i="6"/>
  <c r="L13" i="6" s="1"/>
  <c r="N13" i="6" s="1"/>
  <c r="O13" i="6" s="1"/>
  <c r="J14" i="6"/>
  <c r="L14" i="6" s="1"/>
  <c r="J15" i="6"/>
  <c r="L15" i="6" s="1"/>
  <c r="J16" i="6"/>
  <c r="L16" i="6" s="1"/>
  <c r="J17" i="6"/>
  <c r="L17" i="6" s="1"/>
  <c r="J18" i="6"/>
  <c r="L18" i="6" s="1"/>
  <c r="J19" i="6"/>
  <c r="L19" i="6" s="1"/>
  <c r="N19" i="6" s="1"/>
  <c r="O19" i="6" s="1"/>
  <c r="J20" i="6"/>
  <c r="L20" i="6" s="1"/>
  <c r="N20" i="6" s="1"/>
  <c r="O20" i="6" s="1"/>
  <c r="J21" i="6"/>
  <c r="L21" i="6" s="1"/>
  <c r="N21" i="6" s="1"/>
  <c r="O21" i="6" s="1"/>
  <c r="J22" i="6"/>
  <c r="L22" i="6" s="1"/>
  <c r="J23" i="6"/>
  <c r="L23" i="6" s="1"/>
  <c r="J24" i="6"/>
  <c r="L24" i="6" s="1"/>
  <c r="J25" i="6"/>
  <c r="L25" i="6" s="1"/>
  <c r="J26" i="6"/>
  <c r="L26" i="6" s="1"/>
  <c r="J27" i="6"/>
  <c r="L27" i="6" s="1"/>
  <c r="N27" i="6" s="1"/>
  <c r="O27" i="6" s="1"/>
  <c r="J28" i="6"/>
  <c r="L28" i="6" s="1"/>
  <c r="N28" i="6" s="1"/>
  <c r="O28" i="6" s="1"/>
  <c r="J29" i="6"/>
  <c r="L29" i="6" s="1"/>
  <c r="N29" i="6" s="1"/>
  <c r="O29" i="6" s="1"/>
  <c r="J30" i="6"/>
  <c r="L30" i="6" s="1"/>
  <c r="J31" i="6"/>
  <c r="L31" i="6" s="1"/>
  <c r="J32" i="6"/>
  <c r="L32" i="6" s="1"/>
  <c r="J33" i="6"/>
  <c r="L33" i="6" s="1"/>
  <c r="J34" i="6"/>
  <c r="L34" i="6" s="1"/>
  <c r="J35" i="6"/>
  <c r="L35" i="6" s="1"/>
  <c r="N35" i="6" s="1"/>
  <c r="O35" i="6" s="1"/>
  <c r="J36" i="6"/>
  <c r="L36" i="6" s="1"/>
  <c r="N36" i="6" s="1"/>
  <c r="O36" i="6" s="1"/>
  <c r="J37" i="6"/>
  <c r="L37" i="6" s="1"/>
  <c r="N37" i="6" s="1"/>
  <c r="O37" i="6" s="1"/>
  <c r="J38" i="6"/>
  <c r="L38" i="6" s="1"/>
  <c r="J39" i="6"/>
  <c r="L39" i="6" s="1"/>
  <c r="J40" i="6"/>
  <c r="L40" i="6" s="1"/>
  <c r="J41" i="6"/>
  <c r="L41" i="6" s="1"/>
  <c r="J42" i="6"/>
  <c r="L42" i="6" s="1"/>
  <c r="J43" i="6"/>
  <c r="L43" i="6" s="1"/>
  <c r="N43" i="6" s="1"/>
  <c r="O43" i="6" s="1"/>
  <c r="J44" i="6"/>
  <c r="L44" i="6" s="1"/>
  <c r="N44" i="6" s="1"/>
  <c r="O44" i="6" s="1"/>
  <c r="J45" i="6"/>
  <c r="L45" i="6" s="1"/>
  <c r="N45" i="6" s="1"/>
  <c r="O45" i="6" s="1"/>
  <c r="J46" i="6"/>
  <c r="L46" i="6" s="1"/>
  <c r="J47" i="6"/>
  <c r="L47" i="6" s="1"/>
  <c r="J48" i="6"/>
  <c r="L48" i="6" s="1"/>
  <c r="J49" i="6"/>
  <c r="L49" i="6" s="1"/>
  <c r="J50" i="6"/>
  <c r="L50" i="6" s="1"/>
  <c r="J51" i="6"/>
  <c r="L51" i="6" s="1"/>
  <c r="N51" i="6" s="1"/>
  <c r="O51" i="6" s="1"/>
  <c r="J52" i="6"/>
  <c r="L52" i="6" s="1"/>
  <c r="N52" i="6" s="1"/>
  <c r="O52" i="6" s="1"/>
  <c r="J53" i="6"/>
  <c r="L53" i="6" s="1"/>
  <c r="N53" i="6" s="1"/>
  <c r="O53" i="6" s="1"/>
  <c r="J54" i="6"/>
  <c r="L54" i="6" s="1"/>
  <c r="J55" i="6"/>
  <c r="L55" i="6" s="1"/>
  <c r="J56" i="6"/>
  <c r="L56" i="6" s="1"/>
  <c r="J57" i="6"/>
  <c r="L57" i="6" s="1"/>
  <c r="J58" i="6"/>
  <c r="L58" i="6" s="1"/>
  <c r="J59" i="6"/>
  <c r="L59" i="6" s="1"/>
  <c r="N59" i="6" s="1"/>
  <c r="O59" i="6" s="1"/>
  <c r="J60" i="6"/>
  <c r="L60" i="6" s="1"/>
  <c r="N60" i="6" s="1"/>
  <c r="O60" i="6" s="1"/>
  <c r="J61" i="6"/>
  <c r="L61" i="6" s="1"/>
  <c r="N61" i="6" s="1"/>
  <c r="O61" i="6" s="1"/>
  <c r="J62" i="6"/>
  <c r="L62" i="6" s="1"/>
  <c r="N62" i="6" s="1"/>
  <c r="O62" i="6" s="1"/>
  <c r="J2" i="6"/>
  <c r="L2" i="6" s="1"/>
  <c r="I3" i="6"/>
  <c r="I4" i="6"/>
  <c r="I5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2" i="6"/>
  <c r="H62" i="6"/>
  <c r="H61" i="6"/>
  <c r="H3" i="6"/>
  <c r="H4" i="6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2" i="6"/>
  <c r="N50" i="6" l="1"/>
  <c r="O50" i="6" s="1"/>
  <c r="N58" i="6"/>
  <c r="O58" i="6" s="1"/>
  <c r="N42" i="6"/>
  <c r="O42" i="6" s="1"/>
  <c r="N34" i="6"/>
  <c r="O34" i="6" s="1"/>
  <c r="N26" i="6"/>
  <c r="O26" i="6" s="1"/>
  <c r="N18" i="6"/>
  <c r="O18" i="6" s="1"/>
  <c r="N10" i="6"/>
  <c r="O10" i="6" s="1"/>
  <c r="N57" i="6"/>
  <c r="O57" i="6" s="1"/>
  <c r="N49" i="6"/>
  <c r="O49" i="6" s="1"/>
  <c r="N41" i="6"/>
  <c r="O41" i="6" s="1"/>
  <c r="N33" i="6"/>
  <c r="O33" i="6" s="1"/>
  <c r="N25" i="6"/>
  <c r="O25" i="6" s="1"/>
  <c r="N17" i="6"/>
  <c r="O17" i="6" s="1"/>
  <c r="N9" i="6"/>
  <c r="O9" i="6" s="1"/>
  <c r="N56" i="6"/>
  <c r="O56" i="6" s="1"/>
  <c r="N48" i="6"/>
  <c r="O48" i="6" s="1"/>
  <c r="N40" i="6"/>
  <c r="O40" i="6" s="1"/>
  <c r="N32" i="6"/>
  <c r="O32" i="6" s="1"/>
  <c r="N24" i="6"/>
  <c r="O24" i="6" s="1"/>
  <c r="N16" i="6"/>
  <c r="O16" i="6" s="1"/>
  <c r="N8" i="6"/>
  <c r="O8" i="6" s="1"/>
  <c r="N2" i="6"/>
  <c r="O2" i="6" s="1"/>
  <c r="N55" i="6"/>
  <c r="O55" i="6" s="1"/>
  <c r="N47" i="6"/>
  <c r="O47" i="6" s="1"/>
  <c r="N39" i="6"/>
  <c r="O39" i="6" s="1"/>
  <c r="N31" i="6"/>
  <c r="O31" i="6" s="1"/>
  <c r="N23" i="6"/>
  <c r="O23" i="6" s="1"/>
  <c r="N15" i="6"/>
  <c r="O15" i="6" s="1"/>
  <c r="N7" i="6"/>
  <c r="O7" i="6" s="1"/>
  <c r="N54" i="6"/>
  <c r="O54" i="6" s="1"/>
  <c r="N46" i="6"/>
  <c r="O46" i="6" s="1"/>
  <c r="N38" i="6"/>
  <c r="O38" i="6" s="1"/>
  <c r="N30" i="6"/>
  <c r="O30" i="6" s="1"/>
  <c r="N22" i="6"/>
  <c r="O22" i="6" s="1"/>
  <c r="N14" i="6"/>
  <c r="O14" i="6" s="1"/>
  <c r="N6" i="6"/>
  <c r="O6" i="6" s="1"/>
</calcChain>
</file>

<file path=xl/sharedStrings.xml><?xml version="1.0" encoding="utf-8"?>
<sst xmlns="http://schemas.openxmlformats.org/spreadsheetml/2006/main" count="762" uniqueCount="359">
  <si>
    <t>Ciudad</t>
  </si>
  <si>
    <t>Canal</t>
  </si>
  <si>
    <t>Producto</t>
  </si>
  <si>
    <t>Categoría</t>
  </si>
  <si>
    <t>Cantidad</t>
  </si>
  <si>
    <t>Medellín</t>
  </si>
  <si>
    <t>Bogotá</t>
  </si>
  <si>
    <t>App</t>
  </si>
  <si>
    <t>Cali</t>
  </si>
  <si>
    <t>Tienda</t>
  </si>
  <si>
    <t>Coca Cola 1.5L</t>
  </si>
  <si>
    <t>Bebidas</t>
  </si>
  <si>
    <t>Aseo</t>
  </si>
  <si>
    <t>Licores</t>
  </si>
  <si>
    <t>Arroz 1kg</t>
  </si>
  <si>
    <t>Alimentos</t>
  </si>
  <si>
    <t>Lácteos</t>
  </si>
  <si>
    <t>Jabón de baño</t>
  </si>
  <si>
    <t>Cheetos</t>
  </si>
  <si>
    <t>Snacks</t>
  </si>
  <si>
    <t>Producto_ID</t>
  </si>
  <si>
    <t>Marca</t>
  </si>
  <si>
    <t>Costo</t>
  </si>
  <si>
    <t>P001</t>
  </si>
  <si>
    <t>Coca-Cola</t>
  </si>
  <si>
    <t>P002</t>
  </si>
  <si>
    <t>Pepsi 1.5L</t>
  </si>
  <si>
    <t>Pepsi</t>
  </si>
  <si>
    <t>P003</t>
  </si>
  <si>
    <t>Bavaria</t>
  </si>
  <si>
    <t>P004</t>
  </si>
  <si>
    <t>P005</t>
  </si>
  <si>
    <t>Diana</t>
  </si>
  <si>
    <t>P006</t>
  </si>
  <si>
    <t>Lentejas 500g</t>
  </si>
  <si>
    <t>P007</t>
  </si>
  <si>
    <t>Colanta</t>
  </si>
  <si>
    <t>P008</t>
  </si>
  <si>
    <t>Yogurt</t>
  </si>
  <si>
    <t>Alpina</t>
  </si>
  <si>
    <t>P009</t>
  </si>
  <si>
    <t>Familia</t>
  </si>
  <si>
    <t>P010</t>
  </si>
  <si>
    <t>Palmolive</t>
  </si>
  <si>
    <t>P011</t>
  </si>
  <si>
    <t>Shampoo</t>
  </si>
  <si>
    <t>Head &amp; Shoulders</t>
  </si>
  <si>
    <t>P012</t>
  </si>
  <si>
    <t>Detergente</t>
  </si>
  <si>
    <t>Ariel</t>
  </si>
  <si>
    <t>P013</t>
  </si>
  <si>
    <t>Frito Lay</t>
  </si>
  <si>
    <t>P014</t>
  </si>
  <si>
    <t>Doritos</t>
  </si>
  <si>
    <t>P015</t>
  </si>
  <si>
    <t>Nabisco</t>
  </si>
  <si>
    <t>P016</t>
  </si>
  <si>
    <t>Panadería</t>
  </si>
  <si>
    <t>Bimbo</t>
  </si>
  <si>
    <t>P017</t>
  </si>
  <si>
    <t>Sello Rojo</t>
  </si>
  <si>
    <t>P018</t>
  </si>
  <si>
    <t>Azúcar 1kg</t>
  </si>
  <si>
    <t>Manuelita</t>
  </si>
  <si>
    <t>P019</t>
  </si>
  <si>
    <t>Sal 1kg</t>
  </si>
  <si>
    <t>Refisal</t>
  </si>
  <si>
    <t>P020</t>
  </si>
  <si>
    <t>Aceite 1L</t>
  </si>
  <si>
    <t>Premier</t>
  </si>
  <si>
    <t>Precio_venta</t>
  </si>
  <si>
    <t>Sprite 1.5L</t>
  </si>
  <si>
    <t>Fanta 1.5L</t>
  </si>
  <si>
    <t>Agua 600ml</t>
  </si>
  <si>
    <t>Cristal</t>
  </si>
  <si>
    <t>Agua 1.5L</t>
  </si>
  <si>
    <t>Cerveza Aguila</t>
  </si>
  <si>
    <t>Cerveza Poker</t>
  </si>
  <si>
    <t>Cerveza Costeña</t>
  </si>
  <si>
    <t>Whisky mini</t>
  </si>
  <si>
    <t>Old Parr</t>
  </si>
  <si>
    <t>Vodka</t>
  </si>
  <si>
    <t>Smirnoff</t>
  </si>
  <si>
    <t>Ron</t>
  </si>
  <si>
    <t>Arroz 500g</t>
  </si>
  <si>
    <t>Frijol 500g</t>
  </si>
  <si>
    <t>Garbanzo</t>
  </si>
  <si>
    <t>Pasta 500g</t>
  </si>
  <si>
    <t>Doria</t>
  </si>
  <si>
    <t>Spaghetti</t>
  </si>
  <si>
    <t>P021</t>
  </si>
  <si>
    <t>P022</t>
  </si>
  <si>
    <t>P023</t>
  </si>
  <si>
    <t>Harina</t>
  </si>
  <si>
    <t>Haz de Oros</t>
  </si>
  <si>
    <t>P024</t>
  </si>
  <si>
    <t>Café molido</t>
  </si>
  <si>
    <t>P025</t>
  </si>
  <si>
    <t>Café instantáneo</t>
  </si>
  <si>
    <t>Nescafé</t>
  </si>
  <si>
    <t>P026</t>
  </si>
  <si>
    <t>Té en bolsa</t>
  </si>
  <si>
    <t>Lipton</t>
  </si>
  <si>
    <t>P027</t>
  </si>
  <si>
    <t>Leche entera</t>
  </si>
  <si>
    <t>P028</t>
  </si>
  <si>
    <t>Leche deslactosada</t>
  </si>
  <si>
    <t>P029</t>
  </si>
  <si>
    <t>P030</t>
  </si>
  <si>
    <t>Queso</t>
  </si>
  <si>
    <t>P031</t>
  </si>
  <si>
    <t>Mantequilla</t>
  </si>
  <si>
    <t>P032</t>
  </si>
  <si>
    <t>Huevos x12</t>
  </si>
  <si>
    <t>Proteína</t>
  </si>
  <si>
    <t>Local</t>
  </si>
  <si>
    <t>P033</t>
  </si>
  <si>
    <t>Pollo</t>
  </si>
  <si>
    <t>Campollo</t>
  </si>
  <si>
    <t>P034</t>
  </si>
  <si>
    <t>Carne molida</t>
  </si>
  <si>
    <t>P035</t>
  </si>
  <si>
    <t>Jamón</t>
  </si>
  <si>
    <t>Carnes</t>
  </si>
  <si>
    <t>Zenú</t>
  </si>
  <si>
    <t>P036</t>
  </si>
  <si>
    <t>Salchicha</t>
  </si>
  <si>
    <t>P037</t>
  </si>
  <si>
    <t>Mortadela</t>
  </si>
  <si>
    <t>P038</t>
  </si>
  <si>
    <t>Papel higiénico x4</t>
  </si>
  <si>
    <t>P039</t>
  </si>
  <si>
    <t>Papel higiénico x8</t>
  </si>
  <si>
    <t>P040</t>
  </si>
  <si>
    <t>P041</t>
  </si>
  <si>
    <t>P042</t>
  </si>
  <si>
    <t>Acondicionador</t>
  </si>
  <si>
    <t>Pantene</t>
  </si>
  <si>
    <t>P043</t>
  </si>
  <si>
    <t>P044</t>
  </si>
  <si>
    <t>Cloro</t>
  </si>
  <si>
    <t>Blancox</t>
  </si>
  <si>
    <t>P045</t>
  </si>
  <si>
    <t>Desinfectante</t>
  </si>
  <si>
    <t>Lysoform</t>
  </si>
  <si>
    <t>P046</t>
  </si>
  <si>
    <t>P047</t>
  </si>
  <si>
    <t>P048</t>
  </si>
  <si>
    <t>Maní</t>
  </si>
  <si>
    <t>Margarita</t>
  </si>
  <si>
    <t>P049</t>
  </si>
  <si>
    <t>Oreo</t>
  </si>
  <si>
    <t>P050</t>
  </si>
  <si>
    <t>Saltin Noel</t>
  </si>
  <si>
    <t>Noel</t>
  </si>
  <si>
    <t>P051</t>
  </si>
  <si>
    <t>Chocolate Jet</t>
  </si>
  <si>
    <t>Nutresa</t>
  </si>
  <si>
    <t>P052</t>
  </si>
  <si>
    <t>Papas Margarita</t>
  </si>
  <si>
    <t>P053</t>
  </si>
  <si>
    <t>Pan tajado</t>
  </si>
  <si>
    <t>P054</t>
  </si>
  <si>
    <t>Pan perro</t>
  </si>
  <si>
    <t>P055</t>
  </si>
  <si>
    <t>Croissant</t>
  </si>
  <si>
    <t>P056</t>
  </si>
  <si>
    <t>Tortilla</t>
  </si>
  <si>
    <t>P057</t>
  </si>
  <si>
    <t>Helado</t>
  </si>
  <si>
    <t>Postres</t>
  </si>
  <si>
    <t>Crem Helado</t>
  </si>
  <si>
    <t>P058</t>
  </si>
  <si>
    <t>Yogurt bebible</t>
  </si>
  <si>
    <t>P059</t>
  </si>
  <si>
    <t>Jugo Hit</t>
  </si>
  <si>
    <t>Postobón</t>
  </si>
  <si>
    <t>P060</t>
  </si>
  <si>
    <t>Jugo Del Valle</t>
  </si>
  <si>
    <t>P061</t>
  </si>
  <si>
    <t>Energizante</t>
  </si>
  <si>
    <t>Monster</t>
  </si>
  <si>
    <t>P062</t>
  </si>
  <si>
    <t>Red Bull</t>
  </si>
  <si>
    <t>P063</t>
  </si>
  <si>
    <t>Gaseosa 3L</t>
  </si>
  <si>
    <t>P064</t>
  </si>
  <si>
    <t>Gaseosa 2.5L</t>
  </si>
  <si>
    <t>P065</t>
  </si>
  <si>
    <t>Salsa tomate</t>
  </si>
  <si>
    <t>Fruco</t>
  </si>
  <si>
    <t>P066</t>
  </si>
  <si>
    <t>Mayonesa</t>
  </si>
  <si>
    <t>P067</t>
  </si>
  <si>
    <t>Mostaza</t>
  </si>
  <si>
    <t>Heinz</t>
  </si>
  <si>
    <t>P068</t>
  </si>
  <si>
    <t>Atún</t>
  </si>
  <si>
    <t>Van Camps</t>
  </si>
  <si>
    <t>P069</t>
  </si>
  <si>
    <t>Sardina</t>
  </si>
  <si>
    <t>P070</t>
  </si>
  <si>
    <t>Arvejas</t>
  </si>
  <si>
    <t>P071</t>
  </si>
  <si>
    <t>Maíz</t>
  </si>
  <si>
    <t>P072</t>
  </si>
  <si>
    <t>Aceitunas</t>
  </si>
  <si>
    <t>La Española</t>
  </si>
  <si>
    <t>P073</t>
  </si>
  <si>
    <t>Panela</t>
  </si>
  <si>
    <t>P074</t>
  </si>
  <si>
    <t>Chocolate caliente</t>
  </si>
  <si>
    <t>Corona</t>
  </si>
  <si>
    <t>P075</t>
  </si>
  <si>
    <t>Leche en polvo</t>
  </si>
  <si>
    <t>Nestlé</t>
  </si>
  <si>
    <t>P076</t>
  </si>
  <si>
    <t>Postobón manzana</t>
  </si>
  <si>
    <t>P077</t>
  </si>
  <si>
    <t>Postobón uva</t>
  </si>
  <si>
    <t>P078</t>
  </si>
  <si>
    <t>Hit mango</t>
  </si>
  <si>
    <t>P079</t>
  </si>
  <si>
    <t>Hit mora</t>
  </si>
  <si>
    <t>P080</t>
  </si>
  <si>
    <t>Agua con gas</t>
  </si>
  <si>
    <t>P081</t>
  </si>
  <si>
    <t>Galletas festival</t>
  </si>
  <si>
    <t>P082</t>
  </si>
  <si>
    <t>Chocolatina jumbo</t>
  </si>
  <si>
    <t>P083</t>
  </si>
  <si>
    <t>Barrilete</t>
  </si>
  <si>
    <t>Colombina</t>
  </si>
  <si>
    <t>P084</t>
  </si>
  <si>
    <t>Bon Bon Bum</t>
  </si>
  <si>
    <t>P085</t>
  </si>
  <si>
    <t>Chicle</t>
  </si>
  <si>
    <t>Trident</t>
  </si>
  <si>
    <t>P086</t>
  </si>
  <si>
    <t>Pasta dental</t>
  </si>
  <si>
    <t>Colgate</t>
  </si>
  <si>
    <t>P087</t>
  </si>
  <si>
    <t>Cepillo dental</t>
  </si>
  <si>
    <t>P088</t>
  </si>
  <si>
    <t>Toallas húmedas</t>
  </si>
  <si>
    <t>Huggies</t>
  </si>
  <si>
    <t>P089</t>
  </si>
  <si>
    <t>Pañales</t>
  </si>
  <si>
    <t>P090</t>
  </si>
  <si>
    <t>Suavizante</t>
  </si>
  <si>
    <t>Downy</t>
  </si>
  <si>
    <t>P091</t>
  </si>
  <si>
    <t>Ambientador</t>
  </si>
  <si>
    <t>Glade</t>
  </si>
  <si>
    <t>P092</t>
  </si>
  <si>
    <t>Arroz integral</t>
  </si>
  <si>
    <t>P093</t>
  </si>
  <si>
    <t>Quinua</t>
  </si>
  <si>
    <t>P094</t>
  </si>
  <si>
    <t>Avena</t>
  </si>
  <si>
    <t>Quaker</t>
  </si>
  <si>
    <t>P095</t>
  </si>
  <si>
    <t>Cornflakes</t>
  </si>
  <si>
    <t>Kellogg’s</t>
  </si>
  <si>
    <t>P096</t>
  </si>
  <si>
    <t>Granola</t>
  </si>
  <si>
    <t>P097</t>
  </si>
  <si>
    <t>Leche chocolatada</t>
  </si>
  <si>
    <t>P098</t>
  </si>
  <si>
    <t>Té frío limón</t>
  </si>
  <si>
    <t>P099</t>
  </si>
  <si>
    <t>Agua saborizada</t>
  </si>
  <si>
    <t>H2O</t>
  </si>
  <si>
    <t>P100</t>
  </si>
  <si>
    <t>Galletas integrales</t>
  </si>
  <si>
    <t>Venta_ID</t>
  </si>
  <si>
    <t>Vendedor</t>
  </si>
  <si>
    <t>V001</t>
  </si>
  <si>
    <t>Laura</t>
  </si>
  <si>
    <t>V002</t>
  </si>
  <si>
    <t>Felipe</t>
  </si>
  <si>
    <t>V003</t>
  </si>
  <si>
    <t>Andrés</t>
  </si>
  <si>
    <t>V004</t>
  </si>
  <si>
    <t>V005</t>
  </si>
  <si>
    <t>V006</t>
  </si>
  <si>
    <t>V007</t>
  </si>
  <si>
    <t>V008</t>
  </si>
  <si>
    <t>V009</t>
  </si>
  <si>
    <t>V010</t>
  </si>
  <si>
    <t>V011</t>
  </si>
  <si>
    <t>V012</t>
  </si>
  <si>
    <t>V013</t>
  </si>
  <si>
    <t>V014</t>
  </si>
  <si>
    <t>V015</t>
  </si>
  <si>
    <t>V016</t>
  </si>
  <si>
    <t>V017</t>
  </si>
  <si>
    <t>V018</t>
  </si>
  <si>
    <t>V019</t>
  </si>
  <si>
    <t>V020</t>
  </si>
  <si>
    <t>V021</t>
  </si>
  <si>
    <t>V022</t>
  </si>
  <si>
    <t>V023</t>
  </si>
  <si>
    <t>V024</t>
  </si>
  <si>
    <t>V025</t>
  </si>
  <si>
    <t>V026</t>
  </si>
  <si>
    <t>V027</t>
  </si>
  <si>
    <t>V028</t>
  </si>
  <si>
    <t>V029</t>
  </si>
  <si>
    <t>V030</t>
  </si>
  <si>
    <t>V031</t>
  </si>
  <si>
    <t>V032</t>
  </si>
  <si>
    <t>V033</t>
  </si>
  <si>
    <t>V034</t>
  </si>
  <si>
    <t>V035</t>
  </si>
  <si>
    <t>V036</t>
  </si>
  <si>
    <t>V037</t>
  </si>
  <si>
    <t>V038</t>
  </si>
  <si>
    <t>V039</t>
  </si>
  <si>
    <t>V040</t>
  </si>
  <si>
    <t>V041</t>
  </si>
  <si>
    <t>V042</t>
  </si>
  <si>
    <t>V043</t>
  </si>
  <si>
    <t>V044</t>
  </si>
  <si>
    <t>V045</t>
  </si>
  <si>
    <t>V046</t>
  </si>
  <si>
    <t>V047</t>
  </si>
  <si>
    <t>V048</t>
  </si>
  <si>
    <t>V049</t>
  </si>
  <si>
    <t>V050</t>
  </si>
  <si>
    <t>V051</t>
  </si>
  <si>
    <t>V052</t>
  </si>
  <si>
    <t>V053</t>
  </si>
  <si>
    <t>V054</t>
  </si>
  <si>
    <t>V055</t>
  </si>
  <si>
    <t>V056</t>
  </si>
  <si>
    <t>V057</t>
  </si>
  <si>
    <t>V058</t>
  </si>
  <si>
    <t>V059</t>
  </si>
  <si>
    <t>V060</t>
  </si>
  <si>
    <t>Categoria</t>
  </si>
  <si>
    <t>Precio</t>
  </si>
  <si>
    <t>V061</t>
  </si>
  <si>
    <t>P0101</t>
  </si>
  <si>
    <t>Ingreso</t>
  </si>
  <si>
    <t>Costo total</t>
  </si>
  <si>
    <t>Ganancia</t>
  </si>
  <si>
    <t>Margen de %</t>
  </si>
  <si>
    <t>Etiquetas de fila</t>
  </si>
  <si>
    <t>Total general</t>
  </si>
  <si>
    <t>Suma de Ingreso</t>
  </si>
  <si>
    <t>Suma de Ganancia</t>
  </si>
  <si>
    <t>No encontrado</t>
  </si>
  <si>
    <t>TOTAL VENTAS</t>
  </si>
  <si>
    <t>VENTA MAS ALTA</t>
  </si>
  <si>
    <t>VENTA MAS BAJA</t>
  </si>
  <si>
    <t>PROMEDIO VENTAS</t>
  </si>
  <si>
    <t>DASHBOARD DE VENTAS</t>
  </si>
  <si>
    <t>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</si>
</sst>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[$$-240A]\ #,##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sz val="21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sz val="36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50">
    <xf numFmtId="0" fontId="0" fillId="0" borderId="0" xfId="0"/>
    <xf numFmtId="0" fontId="0" fillId="0" borderId="1" xfId="0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14" fontId="0" fillId="0" borderId="1" xfId="0" applyNumberFormat="1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0" fillId="0" borderId="1" xfId="0" applyBorder="1"/>
    <xf numFmtId="14" fontId="0" fillId="0" borderId="1" xfId="0" applyNumberFormat="1" applyBorder="1"/>
    <xf numFmtId="0" fontId="0" fillId="0" borderId="2" xfId="0" applyBorder="1"/>
    <xf numFmtId="0" fontId="0" fillId="3" borderId="1" xfId="0" applyFill="1" applyBorder="1"/>
    <xf numFmtId="0" fontId="0" fillId="3" borderId="2" xfId="0" applyFill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64" fontId="6" fillId="5" borderId="3" xfId="0" applyNumberFormat="1" applyFont="1" applyFill="1" applyBorder="1" applyAlignment="1">
      <alignment horizontal="center" vertical="center"/>
    </xf>
    <xf numFmtId="164" fontId="6" fillId="5" borderId="4" xfId="0" applyNumberFormat="1" applyFont="1" applyFill="1" applyBorder="1" applyAlignment="1">
      <alignment horizontal="center" vertical="center"/>
    </xf>
    <xf numFmtId="164" fontId="6" fillId="5" borderId="5" xfId="0" applyNumberFormat="1" applyFont="1" applyFill="1" applyBorder="1" applyAlignment="1">
      <alignment horizontal="center" vertical="center"/>
    </xf>
    <xf numFmtId="164" fontId="6" fillId="5" borderId="6" xfId="0" applyNumberFormat="1" applyFont="1" applyFill="1" applyBorder="1" applyAlignment="1">
      <alignment horizontal="center" vertical="center"/>
    </xf>
    <xf numFmtId="164" fontId="6" fillId="5" borderId="0" xfId="0" applyNumberFormat="1" applyFont="1" applyFill="1" applyBorder="1" applyAlignment="1">
      <alignment horizontal="center" vertical="center"/>
    </xf>
    <xf numFmtId="164" fontId="6" fillId="5" borderId="7" xfId="0" applyNumberFormat="1" applyFont="1" applyFill="1" applyBorder="1" applyAlignment="1">
      <alignment horizontal="center" vertical="center"/>
    </xf>
    <xf numFmtId="164" fontId="6" fillId="5" borderId="8" xfId="0" applyNumberFormat="1" applyFont="1" applyFill="1" applyBorder="1" applyAlignment="1">
      <alignment horizontal="center" vertical="center"/>
    </xf>
    <xf numFmtId="164" fontId="6" fillId="5" borderId="9" xfId="0" applyNumberFormat="1" applyFont="1" applyFill="1" applyBorder="1" applyAlignment="1">
      <alignment horizontal="center" vertical="center"/>
    </xf>
    <xf numFmtId="164" fontId="6" fillId="5" borderId="10" xfId="0" applyNumberFormat="1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/>
    </xf>
    <xf numFmtId="0" fontId="4" fillId="4" borderId="4" xfId="0" applyFont="1" applyFill="1" applyBorder="1" applyAlignment="1">
      <alignment horizontal="center"/>
    </xf>
    <xf numFmtId="0" fontId="4" fillId="4" borderId="5" xfId="0" applyFont="1" applyFill="1" applyBorder="1" applyAlignment="1">
      <alignment horizontal="center"/>
    </xf>
    <xf numFmtId="0" fontId="4" fillId="4" borderId="8" xfId="0" applyFont="1" applyFill="1" applyBorder="1" applyAlignment="1">
      <alignment horizontal="center"/>
    </xf>
    <xf numFmtId="0" fontId="4" fillId="4" borderId="9" xfId="0" applyFont="1" applyFill="1" applyBorder="1" applyAlignment="1">
      <alignment horizontal="center"/>
    </xf>
    <xf numFmtId="0" fontId="4" fillId="4" borderId="10" xfId="0" applyFont="1" applyFill="1" applyBorder="1" applyAlignment="1">
      <alignment horizontal="center"/>
    </xf>
    <xf numFmtId="164" fontId="6" fillId="5" borderId="3" xfId="1" applyNumberFormat="1" applyFont="1" applyFill="1" applyBorder="1" applyAlignment="1">
      <alignment horizontal="center" vertical="center"/>
    </xf>
    <xf numFmtId="164" fontId="6" fillId="5" borderId="4" xfId="1" applyNumberFormat="1" applyFont="1" applyFill="1" applyBorder="1" applyAlignment="1">
      <alignment horizontal="center" vertical="center"/>
    </xf>
    <xf numFmtId="164" fontId="6" fillId="5" borderId="5" xfId="1" applyNumberFormat="1" applyFont="1" applyFill="1" applyBorder="1" applyAlignment="1">
      <alignment horizontal="center" vertical="center"/>
    </xf>
    <xf numFmtId="164" fontId="6" fillId="5" borderId="6" xfId="1" applyNumberFormat="1" applyFont="1" applyFill="1" applyBorder="1" applyAlignment="1">
      <alignment horizontal="center" vertical="center"/>
    </xf>
    <xf numFmtId="164" fontId="6" fillId="5" borderId="0" xfId="1" applyNumberFormat="1" applyFont="1" applyFill="1" applyBorder="1" applyAlignment="1">
      <alignment horizontal="center" vertical="center"/>
    </xf>
    <xf numFmtId="164" fontId="6" fillId="5" borderId="7" xfId="1" applyNumberFormat="1" applyFont="1" applyFill="1" applyBorder="1" applyAlignment="1">
      <alignment horizontal="center" vertical="center"/>
    </xf>
    <xf numFmtId="164" fontId="6" fillId="5" borderId="8" xfId="1" applyNumberFormat="1" applyFont="1" applyFill="1" applyBorder="1" applyAlignment="1">
      <alignment horizontal="center" vertical="center"/>
    </xf>
    <xf numFmtId="164" fontId="6" fillId="5" borderId="9" xfId="1" applyNumberFormat="1" applyFont="1" applyFill="1" applyBorder="1" applyAlignment="1">
      <alignment horizontal="center" vertical="center"/>
    </xf>
    <xf numFmtId="164" fontId="6" fillId="5" borderId="10" xfId="1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4" borderId="8" xfId="0" applyFont="1" applyFill="1" applyBorder="1" applyAlignment="1">
      <alignment horizontal="center"/>
    </xf>
    <xf numFmtId="0" fontId="3" fillId="4" borderId="9" xfId="0" applyFont="1" applyFill="1" applyBorder="1" applyAlignment="1">
      <alignment horizontal="center"/>
    </xf>
    <xf numFmtId="0" fontId="3" fillId="4" borderId="10" xfId="0" applyFont="1" applyFill="1" applyBorder="1" applyAlignment="1">
      <alignment horizontal="center"/>
    </xf>
    <xf numFmtId="0" fontId="3" fillId="6" borderId="3" xfId="0" applyFont="1" applyFill="1" applyBorder="1" applyAlignment="1">
      <alignment horizontal="center"/>
    </xf>
    <xf numFmtId="0" fontId="3" fillId="6" borderId="4" xfId="0" applyFont="1" applyFill="1" applyBorder="1" applyAlignment="1">
      <alignment horizontal="center"/>
    </xf>
    <xf numFmtId="0" fontId="3" fillId="6" borderId="5" xfId="0" applyFont="1" applyFill="1" applyBorder="1" applyAlignment="1">
      <alignment horizontal="center"/>
    </xf>
    <xf numFmtId="0" fontId="3" fillId="6" borderId="8" xfId="0" applyFont="1" applyFill="1" applyBorder="1" applyAlignment="1">
      <alignment horizontal="center"/>
    </xf>
    <xf numFmtId="0" fontId="3" fillId="6" borderId="9" xfId="0" applyFont="1" applyFill="1" applyBorder="1" applyAlignment="1">
      <alignment horizontal="center"/>
    </xf>
    <xf numFmtId="0" fontId="3" fillId="6" borderId="10" xfId="0" applyFont="1" applyFill="1" applyBorder="1" applyAlignment="1">
      <alignment horizont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3.xml"/><Relationship Id="rId3" Type="http://schemas.openxmlformats.org/officeDocument/2006/relationships/worksheet" Target="worksheets/sheet3.xml"/><Relationship Id="rId7" Type="http://schemas.microsoft.com/office/2007/relationships/slicerCache" Target="slicerCaches/slicerCache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sharedStrings" Target="sharedStrings.xml"/><Relationship Id="rId5" Type="http://schemas.openxmlformats.org/officeDocument/2006/relationships/pivotCacheDefinition" Target="pivotCache/pivotCacheDefinition2.xml"/><Relationship Id="rId10" Type="http://schemas.openxmlformats.org/officeDocument/2006/relationships/styles" Target="styles.xml"/><Relationship Id="rId4" Type="http://schemas.openxmlformats.org/officeDocument/2006/relationships/pivotCacheDefinition" Target="pivotCache/pivotCacheDefinition1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[Dashboard.xlsx]Ventas!TablaDinámica4</c:name>
    <c:fmtId val="0"/>
  </c:pivotSource>
  <c:chart>
    <c:title>
      <c:layout>
        <c:manualLayout>
          <c:xMode val="edge"/>
          <c:yMode val="edge"/>
          <c:x val="0.5069478890088408"/>
          <c:y val="5.941248950037900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0571136038705262"/>
          <c:y val="0.18261472137478565"/>
          <c:w val="0.841849567510073"/>
          <c:h val="0.7431099860485335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Ventas!$R$2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Ventas!$Q$3:$Q$6</c:f>
              <c:strCache>
                <c:ptCount val="3"/>
                <c:pt idx="0">
                  <c:v>Bogotá</c:v>
                </c:pt>
                <c:pt idx="1">
                  <c:v>Cali</c:v>
                </c:pt>
                <c:pt idx="2">
                  <c:v>Medellín</c:v>
                </c:pt>
              </c:strCache>
            </c:strRef>
          </c:cat>
          <c:val>
            <c:numRef>
              <c:f>Ventas!$R$3:$R$6</c:f>
              <c:numCache>
                <c:formatCode>General</c:formatCode>
                <c:ptCount val="3"/>
                <c:pt idx="0">
                  <c:v>52000</c:v>
                </c:pt>
                <c:pt idx="1">
                  <c:v>72500</c:v>
                </c:pt>
                <c:pt idx="2">
                  <c:v>36000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19-4612-AC59-A87D1DB43A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66575808"/>
        <c:axId val="1039597920"/>
      </c:barChart>
      <c:catAx>
        <c:axId val="1166575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39597920"/>
        <c:crosses val="autoZero"/>
        <c:auto val="1"/>
        <c:lblAlgn val="ctr"/>
        <c:lblOffset val="100"/>
        <c:noMultiLvlLbl val="0"/>
      </c:catAx>
      <c:valAx>
        <c:axId val="1039597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66575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[Dashboard.xlsx]Ventas!TablaDinámica7</c:name>
    <c:fmtId val="1"/>
  </c:pivotSource>
  <c:chart>
    <c:title>
      <c:layout>
        <c:manualLayout>
          <c:xMode val="edge"/>
          <c:yMode val="edge"/>
          <c:x val="0.43800020046999077"/>
          <c:y val="2.2760108723064421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10688266657250803"/>
          <c:y val="0.11922010816263626"/>
          <c:w val="0.31247316214984472"/>
          <c:h val="0.80184079544801423"/>
        </c:manualLayout>
      </c:layout>
      <c:pieChart>
        <c:varyColors val="1"/>
        <c:ser>
          <c:idx val="0"/>
          <c:order val="0"/>
          <c:tx>
            <c:strRef>
              <c:f>Ventas!$R$7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57E-4193-AF6B-E45C1D554B0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57E-4193-AF6B-E45C1D554B0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57E-4193-AF6B-E45C1D554B0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557E-4193-AF6B-E45C1D554B0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557E-4193-AF6B-E45C1D554B08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557E-4193-AF6B-E45C1D554B08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557E-4193-AF6B-E45C1D554B08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557E-4193-AF6B-E45C1D554B08}"/>
              </c:ext>
            </c:extLst>
          </c:dPt>
          <c:dPt>
            <c:idx val="8"/>
            <c:bubble3D val="0"/>
            <c:explosion val="2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557E-4193-AF6B-E45C1D554B08}"/>
              </c:ext>
            </c:extLst>
          </c:dPt>
          <c:cat>
            <c:strRef>
              <c:f>Ventas!$Q$8:$Q$17</c:f>
              <c:strCache>
                <c:ptCount val="9"/>
                <c:pt idx="0">
                  <c:v>Alimentos</c:v>
                </c:pt>
                <c:pt idx="1">
                  <c:v>Aseo</c:v>
                </c:pt>
                <c:pt idx="2">
                  <c:v>Bebidas</c:v>
                </c:pt>
                <c:pt idx="3">
                  <c:v>Lácteos</c:v>
                </c:pt>
                <c:pt idx="4">
                  <c:v>Licores</c:v>
                </c:pt>
                <c:pt idx="5">
                  <c:v>No encontrado</c:v>
                </c:pt>
                <c:pt idx="6">
                  <c:v>Panadería</c:v>
                </c:pt>
                <c:pt idx="7">
                  <c:v>Proteína</c:v>
                </c:pt>
                <c:pt idx="8">
                  <c:v>Snacks</c:v>
                </c:pt>
              </c:strCache>
            </c:strRef>
          </c:cat>
          <c:val>
            <c:numRef>
              <c:f>Ventas!$R$8:$R$17</c:f>
              <c:numCache>
                <c:formatCode>General</c:formatCode>
                <c:ptCount val="9"/>
                <c:pt idx="0">
                  <c:v>36400</c:v>
                </c:pt>
                <c:pt idx="1">
                  <c:v>59000</c:v>
                </c:pt>
                <c:pt idx="2">
                  <c:v>55600</c:v>
                </c:pt>
                <c:pt idx="3">
                  <c:v>25400</c:v>
                </c:pt>
                <c:pt idx="4">
                  <c:v>18200</c:v>
                </c:pt>
                <c:pt idx="5">
                  <c:v>0</c:v>
                </c:pt>
                <c:pt idx="6">
                  <c:v>3800</c:v>
                </c:pt>
                <c:pt idx="7">
                  <c:v>9000</c:v>
                </c:pt>
                <c:pt idx="8">
                  <c:v>22900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D0-4CF7-933A-14DE913F74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56157602721184519"/>
          <c:y val="6.7849917336845356E-3"/>
          <c:w val="0.36980218066801057"/>
          <c:h val="0.9562043321097318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[Dashboard.xlsx]Ventas!TablaDinámica9</c:name>
    <c:fmtId val="0"/>
  </c:pivotSource>
  <c:chart>
    <c:title>
      <c:layout>
        <c:manualLayout>
          <c:xMode val="edge"/>
          <c:yMode val="edge"/>
          <c:x val="0.50724919163852467"/>
          <c:y val="2.271394385563679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26046438688151674"/>
          <c:y val="0.113487645614657"/>
          <c:w val="0.65119716809862982"/>
          <c:h val="0.81878020144141583"/>
        </c:manualLayout>
      </c:layout>
      <c:bar3DChart>
        <c:barDir val="bar"/>
        <c:grouping val="clustered"/>
        <c:varyColors val="0"/>
        <c:ser>
          <c:idx val="0"/>
          <c:order val="0"/>
          <c:tx>
            <c:strRef>
              <c:f>Ventas!$R$18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Ventas!$Q$19:$Q$29</c:f>
              <c:strCache>
                <c:ptCount val="10"/>
                <c:pt idx="0">
                  <c:v>Acondicionador</c:v>
                </c:pt>
                <c:pt idx="1">
                  <c:v>Café instantáneo</c:v>
                </c:pt>
                <c:pt idx="2">
                  <c:v>Desinfectante</c:v>
                </c:pt>
                <c:pt idx="3">
                  <c:v>Galletas festival</c:v>
                </c:pt>
                <c:pt idx="4">
                  <c:v>Mayonesa</c:v>
                </c:pt>
                <c:pt idx="5">
                  <c:v>Papel higiénico x8</c:v>
                </c:pt>
                <c:pt idx="6">
                  <c:v>Ron</c:v>
                </c:pt>
                <c:pt idx="7">
                  <c:v>Shampoo</c:v>
                </c:pt>
                <c:pt idx="8">
                  <c:v>Toallas húmedas</c:v>
                </c:pt>
                <c:pt idx="9">
                  <c:v>Whisky mini</c:v>
                </c:pt>
              </c:strCache>
            </c:strRef>
          </c:cat>
          <c:val>
            <c:numRef>
              <c:f>Ventas!$R$19:$R$29</c:f>
              <c:numCache>
                <c:formatCode>General</c:formatCode>
                <c:ptCount val="10"/>
                <c:pt idx="0">
                  <c:v>18000</c:v>
                </c:pt>
                <c:pt idx="1">
                  <c:v>42000</c:v>
                </c:pt>
                <c:pt idx="2">
                  <c:v>19500</c:v>
                </c:pt>
                <c:pt idx="3">
                  <c:v>16000</c:v>
                </c:pt>
                <c:pt idx="4">
                  <c:v>19500</c:v>
                </c:pt>
                <c:pt idx="5">
                  <c:v>28000</c:v>
                </c:pt>
                <c:pt idx="6">
                  <c:v>28000</c:v>
                </c:pt>
                <c:pt idx="7">
                  <c:v>27000</c:v>
                </c:pt>
                <c:pt idx="8">
                  <c:v>26000</c:v>
                </c:pt>
                <c:pt idx="9">
                  <c:v>18000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1E-4B4A-A7CC-C2AF39CF9B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039600000"/>
        <c:axId val="1039598336"/>
        <c:axId val="0"/>
      </c:bar3DChart>
      <c:catAx>
        <c:axId val="10396000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39598336"/>
        <c:crosses val="autoZero"/>
        <c:auto val="1"/>
        <c:lblAlgn val="ctr"/>
        <c:lblOffset val="100"/>
        <c:noMultiLvlLbl val="0"/>
      </c:catAx>
      <c:valAx>
        <c:axId val="10395983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39600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79827</xdr:colOff>
      <xdr:row>27</xdr:row>
      <xdr:rowOff>50797</xdr:rowOff>
    </xdr:from>
    <xdr:to>
      <xdr:col>7</xdr:col>
      <xdr:colOff>1095375</xdr:colOff>
      <xdr:row>50</xdr:row>
      <xdr:rowOff>111124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D4DF638-9216-451E-8B74-F830241886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508000</xdr:colOff>
      <xdr:row>2</xdr:row>
      <xdr:rowOff>174624</xdr:rowOff>
    </xdr:from>
    <xdr:to>
      <xdr:col>16</xdr:col>
      <xdr:colOff>476250</xdr:colOff>
      <xdr:row>26</xdr:row>
      <xdr:rowOff>63499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1F1363BF-DB51-43C0-B459-5DF5634F83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216581</xdr:colOff>
      <xdr:row>27</xdr:row>
      <xdr:rowOff>79374</xdr:rowOff>
    </xdr:from>
    <xdr:to>
      <xdr:col>17</xdr:col>
      <xdr:colOff>428625</xdr:colOff>
      <xdr:row>50</xdr:row>
      <xdr:rowOff>47625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93AADEF5-8131-42C9-B511-72B12165FF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451756</xdr:colOff>
      <xdr:row>2</xdr:row>
      <xdr:rowOff>134710</xdr:rowOff>
    </xdr:from>
    <xdr:to>
      <xdr:col>1</xdr:col>
      <xdr:colOff>746125</xdr:colOff>
      <xdr:row>19</xdr:row>
      <xdr:rowOff>63500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Ciudad">
              <a:extLst>
                <a:ext uri="{FF2B5EF4-FFF2-40B4-BE49-F238E27FC236}">
                  <a16:creationId xmlns:a16="http://schemas.microsoft.com/office/drawing/2014/main" id="{F79A8CEC-929D-48AA-84CA-F27B55BA337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iudad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51756" y="515710"/>
              <a:ext cx="2310494" cy="316729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452210</xdr:colOff>
      <xdr:row>20</xdr:row>
      <xdr:rowOff>164646</xdr:rowOff>
    </xdr:from>
    <xdr:to>
      <xdr:col>1</xdr:col>
      <xdr:colOff>730250</xdr:colOff>
      <xdr:row>37</xdr:row>
      <xdr:rowOff>79375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Vendedor">
              <a:extLst>
                <a:ext uri="{FF2B5EF4-FFF2-40B4-BE49-F238E27FC236}">
                  <a16:creationId xmlns:a16="http://schemas.microsoft.com/office/drawing/2014/main" id="{3EF66F09-BC93-419F-AA23-1EFA47D80B2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Vende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52210" y="3974646"/>
              <a:ext cx="2294165" cy="315322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468538</xdr:colOff>
      <xdr:row>39</xdr:row>
      <xdr:rowOff>52160</xdr:rowOff>
    </xdr:from>
    <xdr:to>
      <xdr:col>1</xdr:col>
      <xdr:colOff>714374</xdr:colOff>
      <xdr:row>55</xdr:row>
      <xdr:rowOff>142875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9" name="Categoria">
              <a:extLst>
                <a:ext uri="{FF2B5EF4-FFF2-40B4-BE49-F238E27FC236}">
                  <a16:creationId xmlns:a16="http://schemas.microsoft.com/office/drawing/2014/main" id="{D450183D-B0E3-4F0A-A363-4E019401024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i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68538" y="7481660"/>
              <a:ext cx="2261961" cy="313871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gie" refreshedDate="46195.908161574072" createdVersion="7" refreshedVersion="7" minRefreshableVersion="3" recordCount="63" xr:uid="{6A34F7CD-C763-43F1-BC82-2DA030612811}">
  <cacheSource type="worksheet">
    <worksheetSource ref="C1:O1048576" sheet="Ventas"/>
  </cacheSource>
  <cacheFields count="13">
    <cacheField name="Producto_ID" numFmtId="0">
      <sharedItems containsBlank="1"/>
    </cacheField>
    <cacheField name="Cantidad" numFmtId="0">
      <sharedItems containsString="0" containsBlank="1" containsNumber="1" containsInteger="1" minValue="1" maxValue="5"/>
    </cacheField>
    <cacheField name="Ciudad" numFmtId="0">
      <sharedItems containsBlank="1" count="4">
        <s v="Medellín"/>
        <s v="Bogotá"/>
        <s v="Cali"/>
        <m/>
      </sharedItems>
    </cacheField>
    <cacheField name="Vendedor" numFmtId="0">
      <sharedItems containsBlank="1" count="4">
        <s v="Laura"/>
        <s v="Felipe"/>
        <s v="Andrés"/>
        <m/>
      </sharedItems>
    </cacheField>
    <cacheField name="Canal" numFmtId="0">
      <sharedItems containsBlank="1"/>
    </cacheField>
    <cacheField name="Producto" numFmtId="0">
      <sharedItems containsBlank="1" count="62">
        <s v="Coca Cola 1.5L"/>
        <s v="Arroz 500g"/>
        <s v="Café instantáneo"/>
        <s v="Papel higiénico x4"/>
        <s v="Papas Margarita"/>
        <s v="Cerveza Costeña"/>
        <s v="Pollo"/>
        <s v="Mostaza"/>
        <s v="Galletas festival"/>
        <s v="Agua saborizada"/>
        <s v="Aceite 1L"/>
        <s v="Desinfectante"/>
        <s v="Jugo Del Valle"/>
        <s v="Leche en polvo"/>
        <s v="Toallas húmedas"/>
        <s v="Sprite 1.5L"/>
        <s v="Garbanzo"/>
        <s v="Mantequilla"/>
        <s v="Oreo"/>
        <s v="Arvejas"/>
        <s v="Ron"/>
        <s v="Leche deslactosada"/>
        <s v="Shampoo"/>
        <s v="Tortilla"/>
        <s v="Gaseosa 2.5L"/>
        <s v="Panela"/>
        <s v="Pasta dental"/>
        <s v="Arroz integral"/>
        <s v="Leche chocolatada"/>
        <s v="Whisky mini"/>
        <s v="Azúcar 1kg"/>
        <s v="Carne molida"/>
        <s v="Doritos"/>
        <s v="Jugo Hit"/>
        <s v="Maíz"/>
        <s v="Chocolatina jumbo"/>
        <s v="Quinua"/>
        <s v="Agua 1.5L"/>
        <s v="Pasta 500g"/>
        <s v="Queso"/>
        <s v="Acondicionador"/>
        <s v="Pan perro"/>
        <s v="Mayonesa"/>
        <s v="Hit mango"/>
        <s v="Suavizante"/>
        <s v="Pepsi 1.5L"/>
        <s v="Lentejas 500g"/>
        <s v="Leche entera"/>
        <s v="Papel higiénico x8"/>
        <s v="Chocolate Jet"/>
        <s v="Gaseosa 3L"/>
        <s v="Chocolate caliente"/>
        <s v="Barrilete"/>
        <s v="Ambientador"/>
        <s v="Té frío limón"/>
        <s v="Fanta 1.5L"/>
        <s v="Frijol 500g"/>
        <s v="Yogurt"/>
        <s v="Cloro"/>
        <s v="Yogurt bebible"/>
        <s v="No encontrado"/>
        <m/>
      </sharedItems>
    </cacheField>
    <cacheField name="Categoria" numFmtId="0">
      <sharedItems containsBlank="1" count="10">
        <s v="Bebidas"/>
        <s v="Alimentos"/>
        <s v="Aseo"/>
        <s v="Snacks"/>
        <s v="Licores"/>
        <s v="Proteína"/>
        <s v="Lácteos"/>
        <s v="Panadería"/>
        <s v="No encontrado"/>
        <m/>
      </sharedItems>
    </cacheField>
    <cacheField name="Precio" numFmtId="0">
      <sharedItems containsBlank="1" containsMixedTypes="1" containsNumber="1" containsInteger="1" minValue="1500" maxValue="18000"/>
    </cacheField>
    <cacheField name="Costo" numFmtId="0">
      <sharedItems containsBlank="1" containsMixedTypes="1" containsNumber="1" containsInteger="1" minValue="800" maxValue="12000"/>
    </cacheField>
    <cacheField name="Ingreso" numFmtId="0">
      <sharedItems containsString="0" containsBlank="1" containsNumber="1" containsInteger="1" minValue="0" maxValue="42000" count="34">
        <n v="10000"/>
        <n v="2000"/>
        <n v="42000"/>
        <n v="8000"/>
        <n v="12000"/>
        <n v="5600"/>
        <n v="16000"/>
        <n v="5000"/>
        <n v="19500"/>
        <n v="7000"/>
        <n v="14000"/>
        <n v="26000"/>
        <n v="9600"/>
        <n v="3600"/>
        <n v="15000"/>
        <n v="6000"/>
        <n v="3200"/>
        <n v="28000"/>
        <n v="4500"/>
        <n v="27000"/>
        <n v="6500"/>
        <n v="13500"/>
        <n v="18000"/>
        <n v="7600"/>
        <n v="4800"/>
        <n v="9000"/>
        <n v="12600"/>
        <n v="4000"/>
        <n v="13000"/>
        <n v="3500"/>
        <n v="3400"/>
        <n v="10500"/>
        <n v="0"/>
        <m/>
      </sharedItems>
    </cacheField>
    <cacheField name="Costo total" numFmtId="0">
      <sharedItems containsString="0" containsBlank="1" containsNumber="1" containsInteger="1" minValue="0" maxValue="27000" count="32">
        <n v="5600"/>
        <n v="1300"/>
        <n v="27000"/>
        <n v="5000"/>
        <n v="7200"/>
        <n v="3400"/>
        <n v="8000"/>
        <n v="6000"/>
        <n v="10000"/>
        <n v="3000"/>
        <n v="8500"/>
        <n v="12000"/>
        <n v="4000"/>
        <n v="9000"/>
        <n v="16000"/>
        <n v="5200"/>
        <n v="2600"/>
        <n v="10500"/>
        <n v="3600"/>
        <n v="2000"/>
        <n v="18000"/>
        <n v="3200"/>
        <n v="3500"/>
        <n v="2700"/>
        <n v="4500"/>
        <n v="1200"/>
        <n v="5400"/>
        <n v="2200"/>
        <n v="2500"/>
        <n v="2400"/>
        <n v="0"/>
        <m/>
      </sharedItems>
    </cacheField>
    <cacheField name="Ganancia" numFmtId="0">
      <sharedItems containsString="0" containsBlank="1" containsNumber="1" containsInteger="1" minValue="0" maxValue="15000" count="27">
        <n v="4400"/>
        <n v="700"/>
        <n v="15000"/>
        <n v="3000"/>
        <n v="4800"/>
        <n v="2200"/>
        <n v="4000"/>
        <n v="6000"/>
        <n v="2000"/>
        <n v="3500"/>
        <n v="7500"/>
        <n v="5000"/>
        <n v="10000"/>
        <n v="1000"/>
        <n v="4500"/>
        <n v="2400"/>
        <n v="1200"/>
        <n v="1300"/>
        <n v="9000"/>
        <n v="2500"/>
        <n v="2100"/>
        <n v="800"/>
        <n v="4200"/>
        <n v="3600"/>
        <n v="1500"/>
        <n v="0"/>
        <m/>
      </sharedItems>
    </cacheField>
    <cacheField name="Margen de %" numFmtId="0">
      <sharedItems containsString="0" containsBlank="1" containsNumber="1" minValue="0" maxValue="0.47"/>
    </cacheField>
  </cacheFields>
  <extLst>
    <ext xmlns:x14="http://schemas.microsoft.com/office/spreadsheetml/2009/9/main" uri="{725AE2AE-9491-48be-B2B4-4EB974FC3084}">
      <x14:pivotCacheDefinition pivotCacheId="873848977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gie" refreshedDate="46195.911188773149" createdVersion="7" refreshedVersion="7" minRefreshableVersion="3" recordCount="61" xr:uid="{3BCFE594-16FC-4C89-8EFA-B1058FAC7905}">
  <cacheSource type="worksheet">
    <worksheetSource ref="A1:O62" sheet="Ventas"/>
  </cacheSource>
  <cacheFields count="15">
    <cacheField name="Venta_ID" numFmtId="0">
      <sharedItems/>
    </cacheField>
    <cacheField name="Fecha" numFmtId="14">
      <sharedItems containsSemiMixedTypes="0" containsNonDate="0" containsDate="1" containsString="0" minDate="2026-06-01T00:00:00" maxDate="2026-07-13T00:00:00"/>
    </cacheField>
    <cacheField name="Producto_ID" numFmtId="0">
      <sharedItems/>
    </cacheField>
    <cacheField name="Cantidad" numFmtId="0">
      <sharedItems containsSemiMixedTypes="0" containsString="0" containsNumber="1" containsInteger="1" minValue="1" maxValue="5"/>
    </cacheField>
    <cacheField name="Ciudad" numFmtId="0">
      <sharedItems/>
    </cacheField>
    <cacheField name="Vendedor" numFmtId="0">
      <sharedItems/>
    </cacheField>
    <cacheField name="Canal" numFmtId="0">
      <sharedItems/>
    </cacheField>
    <cacheField name="Producto" numFmtId="0">
      <sharedItems count="61">
        <s v="Coca Cola 1.5L"/>
        <s v="Arroz 500g"/>
        <s v="Café instantáneo"/>
        <s v="Papel higiénico x4"/>
        <s v="Papas Margarita"/>
        <s v="Cerveza Costeña"/>
        <s v="Pollo"/>
        <s v="Mostaza"/>
        <s v="Galletas festival"/>
        <s v="Agua saborizada"/>
        <s v="Aceite 1L"/>
        <s v="Desinfectante"/>
        <s v="Jugo Del Valle"/>
        <s v="Leche en polvo"/>
        <s v="Toallas húmedas"/>
        <s v="Sprite 1.5L"/>
        <s v="Garbanzo"/>
        <s v="Mantequilla"/>
        <s v="Oreo"/>
        <s v="Arvejas"/>
        <s v="Ron"/>
        <s v="Leche deslactosada"/>
        <s v="Shampoo"/>
        <s v="Tortilla"/>
        <s v="Gaseosa 2.5L"/>
        <s v="Panela"/>
        <s v="Pasta dental"/>
        <s v="Arroz integral"/>
        <s v="Leche chocolatada"/>
        <s v="Whisky mini"/>
        <s v="Azúcar 1kg"/>
        <s v="Carne molida"/>
        <s v="Doritos"/>
        <s v="Jugo Hit"/>
        <s v="Maíz"/>
        <s v="Chocolatina jumbo"/>
        <s v="Quinua"/>
        <s v="Agua 1.5L"/>
        <s v="Pasta 500g"/>
        <s v="Queso"/>
        <s v="Acondicionador"/>
        <s v="Pan perro"/>
        <s v="Mayonesa"/>
        <s v="Hit mango"/>
        <s v="Suavizante"/>
        <s v="Pepsi 1.5L"/>
        <s v="Lentejas 500g"/>
        <s v="Leche entera"/>
        <s v="Papel higiénico x8"/>
        <s v="Chocolate Jet"/>
        <s v="Gaseosa 3L"/>
        <s v="Chocolate caliente"/>
        <s v="Barrilete"/>
        <s v="Ambientador"/>
        <s v="Té frío limón"/>
        <s v="Fanta 1.5L"/>
        <s v="Frijol 500g"/>
        <s v="Yogurt"/>
        <s v="Cloro"/>
        <s v="Yogurt bebible"/>
        <s v="No encontrado"/>
      </sharedItems>
    </cacheField>
    <cacheField name="Categoria" numFmtId="0">
      <sharedItems count="9">
        <s v="Bebidas"/>
        <s v="Alimentos"/>
        <s v="Aseo"/>
        <s v="Snacks"/>
        <s v="Licores"/>
        <s v="Proteína"/>
        <s v="Lácteos"/>
        <s v="Panadería"/>
        <s v="No encontrado"/>
      </sharedItems>
    </cacheField>
    <cacheField name="Precio" numFmtId="0">
      <sharedItems containsMixedTypes="1" containsNumber="1" containsInteger="1" minValue="1500" maxValue="18000"/>
    </cacheField>
    <cacheField name="Costo" numFmtId="0">
      <sharedItems containsMixedTypes="1" containsNumber="1" containsInteger="1" minValue="800" maxValue="12000"/>
    </cacheField>
    <cacheField name="Ingreso" numFmtId="0">
      <sharedItems containsSemiMixedTypes="0" containsString="0" containsNumber="1" containsInteger="1" minValue="0" maxValue="42000"/>
    </cacheField>
    <cacheField name="Costo total" numFmtId="0">
      <sharedItems containsSemiMixedTypes="0" containsString="0" containsNumber="1" containsInteger="1" minValue="0" maxValue="27000"/>
    </cacheField>
    <cacheField name="Ganancia" numFmtId="0">
      <sharedItems containsSemiMixedTypes="0" containsString="0" containsNumber="1" containsInteger="1" minValue="0" maxValue="15000"/>
    </cacheField>
    <cacheField name="Margen de %" numFmtId="0">
      <sharedItems containsSemiMixedTypes="0" containsString="0" containsNumber="1" minValue="0" maxValue="0.4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3">
  <r>
    <s v="P001"/>
    <n v="2"/>
    <x v="0"/>
    <x v="0"/>
    <s v="Tienda"/>
    <x v="0"/>
    <x v="0"/>
    <n v="5000"/>
    <n v="2800"/>
    <x v="0"/>
    <x v="0"/>
    <x v="0"/>
    <n v="0.44"/>
  </r>
  <r>
    <s v="P014"/>
    <n v="1"/>
    <x v="1"/>
    <x v="1"/>
    <s v="App"/>
    <x v="1"/>
    <x v="1"/>
    <n v="2000"/>
    <n v="1300"/>
    <x v="1"/>
    <x v="1"/>
    <x v="1"/>
    <n v="0.35"/>
  </r>
  <r>
    <s v="P025"/>
    <n v="3"/>
    <x v="2"/>
    <x v="2"/>
    <s v="Tienda"/>
    <x v="2"/>
    <x v="0"/>
    <n v="14000"/>
    <n v="9000"/>
    <x v="2"/>
    <x v="2"/>
    <x v="2"/>
    <n v="0.36"/>
  </r>
  <r>
    <s v="P038"/>
    <n v="1"/>
    <x v="0"/>
    <x v="0"/>
    <s v="App"/>
    <x v="3"/>
    <x v="2"/>
    <n v="8000"/>
    <n v="5000"/>
    <x v="3"/>
    <x v="3"/>
    <x v="3"/>
    <n v="0.38"/>
  </r>
  <r>
    <s v="P052"/>
    <n v="4"/>
    <x v="1"/>
    <x v="1"/>
    <s v="Tienda"/>
    <x v="4"/>
    <x v="3"/>
    <n v="3000"/>
    <n v="1800"/>
    <x v="4"/>
    <x v="4"/>
    <x v="4"/>
    <n v="0.4"/>
  </r>
  <r>
    <s v="P009"/>
    <n v="2"/>
    <x v="2"/>
    <x v="2"/>
    <s v="App"/>
    <x v="5"/>
    <x v="4"/>
    <n v="2800"/>
    <n v="1700"/>
    <x v="5"/>
    <x v="5"/>
    <x v="5"/>
    <n v="0.39"/>
  </r>
  <r>
    <s v="P033"/>
    <n v="1"/>
    <x v="0"/>
    <x v="0"/>
    <s v="Tienda"/>
    <x v="6"/>
    <x v="5"/>
    <n v="12000"/>
    <n v="8000"/>
    <x v="4"/>
    <x v="6"/>
    <x v="6"/>
    <n v="0.33"/>
  </r>
  <r>
    <s v="P067"/>
    <n v="2"/>
    <x v="1"/>
    <x v="1"/>
    <s v="App"/>
    <x v="7"/>
    <x v="1"/>
    <n v="5000"/>
    <n v="3000"/>
    <x v="0"/>
    <x v="7"/>
    <x v="6"/>
    <n v="0.4"/>
  </r>
  <r>
    <s v="P081"/>
    <n v="5"/>
    <x v="2"/>
    <x v="2"/>
    <s v="Tienda"/>
    <x v="8"/>
    <x v="3"/>
    <n v="3200"/>
    <n v="2000"/>
    <x v="6"/>
    <x v="8"/>
    <x v="7"/>
    <n v="0.38"/>
  </r>
  <r>
    <s v="P099"/>
    <n v="2"/>
    <x v="0"/>
    <x v="0"/>
    <s v="App"/>
    <x v="9"/>
    <x v="0"/>
    <n v="2500"/>
    <n v="1500"/>
    <x v="7"/>
    <x v="9"/>
    <x v="8"/>
    <n v="0.4"/>
  </r>
  <r>
    <s v="P020"/>
    <n v="1"/>
    <x v="1"/>
    <x v="1"/>
    <s v="Tienda"/>
    <x v="10"/>
    <x v="1"/>
    <n v="12000"/>
    <n v="8500"/>
    <x v="4"/>
    <x v="10"/>
    <x v="9"/>
    <n v="0.28999999999999998"/>
  </r>
  <r>
    <s v="P045"/>
    <n v="3"/>
    <x v="2"/>
    <x v="2"/>
    <s v="App"/>
    <x v="11"/>
    <x v="2"/>
    <n v="6500"/>
    <n v="4000"/>
    <x v="8"/>
    <x v="11"/>
    <x v="10"/>
    <n v="0.38"/>
  </r>
  <r>
    <s v="P060"/>
    <n v="2"/>
    <x v="0"/>
    <x v="0"/>
    <s v="Tienda"/>
    <x v="12"/>
    <x v="0"/>
    <n v="3500"/>
    <n v="2000"/>
    <x v="9"/>
    <x v="12"/>
    <x v="3"/>
    <n v="0.43"/>
  </r>
  <r>
    <s v="P075"/>
    <n v="1"/>
    <x v="1"/>
    <x v="1"/>
    <s v="App"/>
    <x v="13"/>
    <x v="6"/>
    <n v="14000"/>
    <n v="9000"/>
    <x v="10"/>
    <x v="13"/>
    <x v="11"/>
    <n v="0.36"/>
  </r>
  <r>
    <s v="P088"/>
    <n v="4"/>
    <x v="2"/>
    <x v="2"/>
    <s v="Tienda"/>
    <x v="14"/>
    <x v="2"/>
    <n v="6500"/>
    <n v="4000"/>
    <x v="11"/>
    <x v="14"/>
    <x v="12"/>
    <n v="0.38"/>
  </r>
  <r>
    <s v="P003"/>
    <n v="2"/>
    <x v="0"/>
    <x v="0"/>
    <s v="App"/>
    <x v="15"/>
    <x v="0"/>
    <n v="4800"/>
    <n v="2600"/>
    <x v="12"/>
    <x v="15"/>
    <x v="0"/>
    <n v="0.46"/>
  </r>
  <r>
    <s v="P017"/>
    <n v="1"/>
    <x v="1"/>
    <x v="1"/>
    <s v="Tienda"/>
    <x v="16"/>
    <x v="1"/>
    <n v="3600"/>
    <n v="2600"/>
    <x v="13"/>
    <x v="16"/>
    <x v="13"/>
    <n v="0.28000000000000003"/>
  </r>
  <r>
    <s v="P031"/>
    <n v="3"/>
    <x v="2"/>
    <x v="2"/>
    <s v="App"/>
    <x v="17"/>
    <x v="6"/>
    <n v="5000"/>
    <n v="3500"/>
    <x v="14"/>
    <x v="17"/>
    <x v="14"/>
    <n v="0.3"/>
  </r>
  <r>
    <s v="P049"/>
    <n v="2"/>
    <x v="0"/>
    <x v="0"/>
    <s v="Tienda"/>
    <x v="18"/>
    <x v="3"/>
    <n v="3000"/>
    <n v="1800"/>
    <x v="15"/>
    <x v="18"/>
    <x v="15"/>
    <n v="0.4"/>
  </r>
  <r>
    <s v="P070"/>
    <n v="1"/>
    <x v="1"/>
    <x v="1"/>
    <s v="App"/>
    <x v="19"/>
    <x v="1"/>
    <n v="3200"/>
    <n v="2000"/>
    <x v="16"/>
    <x v="19"/>
    <x v="16"/>
    <n v="0.38"/>
  </r>
  <r>
    <s v="P012"/>
    <n v="2"/>
    <x v="2"/>
    <x v="2"/>
    <s v="Tienda"/>
    <x v="20"/>
    <x v="4"/>
    <n v="14000"/>
    <n v="9000"/>
    <x v="17"/>
    <x v="20"/>
    <x v="12"/>
    <n v="0.36"/>
  </r>
  <r>
    <s v="P028"/>
    <n v="1"/>
    <x v="0"/>
    <x v="0"/>
    <s v="App"/>
    <x v="21"/>
    <x v="6"/>
    <n v="4500"/>
    <n v="3200"/>
    <x v="18"/>
    <x v="21"/>
    <x v="17"/>
    <n v="0.28999999999999998"/>
  </r>
  <r>
    <s v="P041"/>
    <n v="3"/>
    <x v="1"/>
    <x v="1"/>
    <s v="Tienda"/>
    <x v="22"/>
    <x v="2"/>
    <n v="9000"/>
    <n v="6000"/>
    <x v="19"/>
    <x v="20"/>
    <x v="18"/>
    <n v="0.33"/>
  </r>
  <r>
    <s v="P056"/>
    <n v="2"/>
    <x v="2"/>
    <x v="2"/>
    <s v="App"/>
    <x v="23"/>
    <x v="7"/>
    <n v="3500"/>
    <n v="2000"/>
    <x v="9"/>
    <x v="12"/>
    <x v="3"/>
    <n v="0.43"/>
  </r>
  <r>
    <s v="P064"/>
    <n v="1"/>
    <x v="0"/>
    <x v="0"/>
    <s v="Tienda"/>
    <x v="24"/>
    <x v="0"/>
    <n v="6500"/>
    <n v="4000"/>
    <x v="20"/>
    <x v="12"/>
    <x v="19"/>
    <n v="0.38"/>
  </r>
  <r>
    <s v="P073"/>
    <n v="2"/>
    <x v="1"/>
    <x v="1"/>
    <s v="App"/>
    <x v="25"/>
    <x v="1"/>
    <n v="4000"/>
    <n v="2500"/>
    <x v="3"/>
    <x v="3"/>
    <x v="3"/>
    <n v="0.38"/>
  </r>
  <r>
    <s v="P086"/>
    <n v="1"/>
    <x v="2"/>
    <x v="2"/>
    <s v="Tienda"/>
    <x v="26"/>
    <x v="2"/>
    <n v="6000"/>
    <n v="3500"/>
    <x v="15"/>
    <x v="22"/>
    <x v="19"/>
    <n v="0.42"/>
  </r>
  <r>
    <s v="P092"/>
    <n v="3"/>
    <x v="0"/>
    <x v="0"/>
    <s v="App"/>
    <x v="27"/>
    <x v="1"/>
    <n v="4500"/>
    <n v="3000"/>
    <x v="21"/>
    <x v="13"/>
    <x v="14"/>
    <n v="0.33"/>
  </r>
  <r>
    <s v="P097"/>
    <n v="2"/>
    <x v="1"/>
    <x v="1"/>
    <s v="Tienda"/>
    <x v="28"/>
    <x v="6"/>
    <n v="4000"/>
    <n v="2500"/>
    <x v="3"/>
    <x v="3"/>
    <x v="3"/>
    <n v="0.38"/>
  </r>
  <r>
    <s v="P010"/>
    <n v="1"/>
    <x v="2"/>
    <x v="2"/>
    <s v="App"/>
    <x v="29"/>
    <x v="4"/>
    <n v="18000"/>
    <n v="12000"/>
    <x v="22"/>
    <x v="11"/>
    <x v="7"/>
    <n v="0.33"/>
  </r>
  <r>
    <s v="P021"/>
    <n v="2"/>
    <x v="0"/>
    <x v="0"/>
    <s v="Tienda"/>
    <x v="30"/>
    <x v="1"/>
    <n v="3800"/>
    <n v="2600"/>
    <x v="23"/>
    <x v="15"/>
    <x v="15"/>
    <n v="0.32"/>
  </r>
  <r>
    <s v="P034"/>
    <n v="1"/>
    <x v="1"/>
    <x v="1"/>
    <s v="App"/>
    <x v="31"/>
    <x v="5"/>
    <n v="15000"/>
    <n v="10000"/>
    <x v="14"/>
    <x v="8"/>
    <x v="11"/>
    <n v="0.33"/>
  </r>
  <r>
    <s v="P047"/>
    <n v="3"/>
    <x v="2"/>
    <x v="2"/>
    <s v="Tienda"/>
    <x v="32"/>
    <x v="3"/>
    <n v="1600"/>
    <n v="900"/>
    <x v="24"/>
    <x v="23"/>
    <x v="20"/>
    <n v="0.44"/>
  </r>
  <r>
    <s v="P059"/>
    <n v="2"/>
    <x v="0"/>
    <x v="0"/>
    <s v="App"/>
    <x v="33"/>
    <x v="0"/>
    <n v="3000"/>
    <n v="1800"/>
    <x v="15"/>
    <x v="18"/>
    <x v="15"/>
    <n v="0.4"/>
  </r>
  <r>
    <s v="P071"/>
    <n v="1"/>
    <x v="1"/>
    <x v="1"/>
    <s v="Tienda"/>
    <x v="34"/>
    <x v="1"/>
    <n v="3200"/>
    <n v="2000"/>
    <x v="16"/>
    <x v="19"/>
    <x v="16"/>
    <n v="0.38"/>
  </r>
  <r>
    <s v="P082"/>
    <n v="2"/>
    <x v="2"/>
    <x v="2"/>
    <s v="App"/>
    <x v="35"/>
    <x v="3"/>
    <n v="5000"/>
    <n v="3000"/>
    <x v="0"/>
    <x v="7"/>
    <x v="6"/>
    <n v="0.4"/>
  </r>
  <r>
    <s v="P093"/>
    <n v="1"/>
    <x v="0"/>
    <x v="0"/>
    <s v="Tienda"/>
    <x v="36"/>
    <x v="1"/>
    <n v="9000"/>
    <n v="6000"/>
    <x v="25"/>
    <x v="7"/>
    <x v="3"/>
    <n v="0.33"/>
  </r>
  <r>
    <s v="P006"/>
    <n v="3"/>
    <x v="1"/>
    <x v="1"/>
    <s v="App"/>
    <x v="37"/>
    <x v="0"/>
    <n v="2000"/>
    <n v="1200"/>
    <x v="15"/>
    <x v="18"/>
    <x v="15"/>
    <n v="0.4"/>
  </r>
  <r>
    <s v="P018"/>
    <n v="2"/>
    <x v="2"/>
    <x v="2"/>
    <s v="Tienda"/>
    <x v="38"/>
    <x v="1"/>
    <n v="3000"/>
    <n v="1800"/>
    <x v="15"/>
    <x v="18"/>
    <x v="15"/>
    <n v="0.4"/>
  </r>
  <r>
    <s v="P030"/>
    <n v="1"/>
    <x v="0"/>
    <x v="0"/>
    <s v="App"/>
    <x v="39"/>
    <x v="6"/>
    <n v="6500"/>
    <n v="4500"/>
    <x v="20"/>
    <x v="24"/>
    <x v="8"/>
    <n v="0.31"/>
  </r>
  <r>
    <s v="P042"/>
    <n v="2"/>
    <x v="1"/>
    <x v="1"/>
    <s v="Tienda"/>
    <x v="40"/>
    <x v="2"/>
    <n v="9000"/>
    <n v="6000"/>
    <x v="22"/>
    <x v="11"/>
    <x v="7"/>
    <n v="0.33"/>
  </r>
  <r>
    <s v="P054"/>
    <n v="1"/>
    <x v="2"/>
    <x v="2"/>
    <s v="App"/>
    <x v="41"/>
    <x v="7"/>
    <n v="2000"/>
    <n v="1200"/>
    <x v="1"/>
    <x v="25"/>
    <x v="21"/>
    <n v="0.4"/>
  </r>
  <r>
    <s v="P066"/>
    <n v="3"/>
    <x v="0"/>
    <x v="0"/>
    <s v="Tienda"/>
    <x v="42"/>
    <x v="1"/>
    <n v="6500"/>
    <n v="4000"/>
    <x v="8"/>
    <x v="11"/>
    <x v="10"/>
    <n v="0.38"/>
  </r>
  <r>
    <s v="P078"/>
    <n v="2"/>
    <x v="1"/>
    <x v="1"/>
    <s v="App"/>
    <x v="43"/>
    <x v="0"/>
    <n v="3000"/>
    <n v="1800"/>
    <x v="15"/>
    <x v="18"/>
    <x v="15"/>
    <n v="0.4"/>
  </r>
  <r>
    <s v="P090"/>
    <n v="1"/>
    <x v="2"/>
    <x v="2"/>
    <s v="Tienda"/>
    <x v="44"/>
    <x v="2"/>
    <n v="8000"/>
    <n v="5000"/>
    <x v="3"/>
    <x v="3"/>
    <x v="3"/>
    <n v="0.38"/>
  </r>
  <r>
    <s v="P002"/>
    <n v="2"/>
    <x v="0"/>
    <x v="0"/>
    <s v="App"/>
    <x v="45"/>
    <x v="0"/>
    <n v="4800"/>
    <n v="2700"/>
    <x v="12"/>
    <x v="26"/>
    <x v="22"/>
    <n v="0.44"/>
  </r>
  <r>
    <s v="P015"/>
    <n v="1"/>
    <x v="1"/>
    <x v="1"/>
    <s v="Tienda"/>
    <x v="46"/>
    <x v="1"/>
    <n v="3200"/>
    <n v="2200"/>
    <x v="16"/>
    <x v="27"/>
    <x v="13"/>
    <n v="0.31"/>
  </r>
  <r>
    <s v="P027"/>
    <n v="3"/>
    <x v="2"/>
    <x v="2"/>
    <s v="App"/>
    <x v="47"/>
    <x v="6"/>
    <n v="4200"/>
    <n v="3000"/>
    <x v="26"/>
    <x v="13"/>
    <x v="23"/>
    <n v="0.28999999999999998"/>
  </r>
  <r>
    <s v="P039"/>
    <n v="2"/>
    <x v="0"/>
    <x v="0"/>
    <s v="Tienda"/>
    <x v="48"/>
    <x v="2"/>
    <n v="14000"/>
    <n v="9000"/>
    <x v="17"/>
    <x v="20"/>
    <x v="12"/>
    <n v="0.36"/>
  </r>
  <r>
    <s v="P051"/>
    <n v="1"/>
    <x v="1"/>
    <x v="1"/>
    <s v="App"/>
    <x v="49"/>
    <x v="3"/>
    <n v="4000"/>
    <n v="2500"/>
    <x v="27"/>
    <x v="28"/>
    <x v="24"/>
    <n v="0.38"/>
  </r>
  <r>
    <s v="P063"/>
    <n v="2"/>
    <x v="2"/>
    <x v="2"/>
    <s v="App"/>
    <x v="50"/>
    <x v="0"/>
    <n v="7000"/>
    <n v="4500"/>
    <x v="10"/>
    <x v="13"/>
    <x v="11"/>
    <n v="0.36"/>
  </r>
  <r>
    <s v="P074"/>
    <n v="1"/>
    <x v="0"/>
    <x v="0"/>
    <s v="Tienda"/>
    <x v="51"/>
    <x v="0"/>
    <n v="5000"/>
    <n v="3000"/>
    <x v="7"/>
    <x v="9"/>
    <x v="8"/>
    <n v="0.4"/>
  </r>
  <r>
    <s v="P083"/>
    <n v="3"/>
    <x v="1"/>
    <x v="1"/>
    <s v="App"/>
    <x v="52"/>
    <x v="3"/>
    <n v="1500"/>
    <n v="800"/>
    <x v="18"/>
    <x v="29"/>
    <x v="20"/>
    <n v="0.47"/>
  </r>
  <r>
    <s v="P091"/>
    <n v="2"/>
    <x v="2"/>
    <x v="2"/>
    <s v="Tienda"/>
    <x v="53"/>
    <x v="2"/>
    <n v="6500"/>
    <n v="4000"/>
    <x v="28"/>
    <x v="6"/>
    <x v="11"/>
    <n v="0.38"/>
  </r>
  <r>
    <s v="P098"/>
    <n v="1"/>
    <x v="0"/>
    <x v="0"/>
    <s v="App"/>
    <x v="54"/>
    <x v="0"/>
    <n v="3500"/>
    <n v="2000"/>
    <x v="29"/>
    <x v="19"/>
    <x v="24"/>
    <n v="0.43"/>
  </r>
  <r>
    <s v="P004"/>
    <n v="2"/>
    <x v="1"/>
    <x v="1"/>
    <s v="Tienda"/>
    <x v="55"/>
    <x v="0"/>
    <n v="4800"/>
    <n v="2600"/>
    <x v="12"/>
    <x v="15"/>
    <x v="0"/>
    <n v="0.46"/>
  </r>
  <r>
    <s v="P016"/>
    <n v="1"/>
    <x v="2"/>
    <x v="2"/>
    <s v="App"/>
    <x v="56"/>
    <x v="1"/>
    <n v="3400"/>
    <n v="2400"/>
    <x v="30"/>
    <x v="29"/>
    <x v="13"/>
    <n v="0.28999999999999998"/>
  </r>
  <r>
    <s v="P029"/>
    <n v="3"/>
    <x v="0"/>
    <x v="0"/>
    <s v="Tienda"/>
    <x v="57"/>
    <x v="6"/>
    <n v="3500"/>
    <n v="2000"/>
    <x v="31"/>
    <x v="7"/>
    <x v="14"/>
    <n v="0.43"/>
  </r>
  <r>
    <s v="P044"/>
    <n v="2"/>
    <x v="1"/>
    <x v="1"/>
    <s v="App"/>
    <x v="58"/>
    <x v="2"/>
    <n v="3500"/>
    <n v="2000"/>
    <x v="9"/>
    <x v="12"/>
    <x v="3"/>
    <n v="0.43"/>
  </r>
  <r>
    <s v="P058"/>
    <n v="1"/>
    <x v="2"/>
    <x v="2"/>
    <s v="Tienda"/>
    <x v="59"/>
    <x v="6"/>
    <n v="4000"/>
    <n v="2500"/>
    <x v="27"/>
    <x v="28"/>
    <x v="24"/>
    <n v="0.38"/>
  </r>
  <r>
    <s v="P0101"/>
    <n v="1"/>
    <x v="0"/>
    <x v="2"/>
    <s v="Tienda"/>
    <x v="60"/>
    <x v="8"/>
    <s v="No encontrado"/>
    <s v="No encontrado"/>
    <x v="32"/>
    <x v="30"/>
    <x v="25"/>
    <n v="0"/>
  </r>
  <r>
    <m/>
    <m/>
    <x v="3"/>
    <x v="3"/>
    <m/>
    <x v="61"/>
    <x v="9"/>
    <m/>
    <m/>
    <x v="33"/>
    <x v="31"/>
    <x v="26"/>
    <m/>
  </r>
  <r>
    <m/>
    <m/>
    <x v="3"/>
    <x v="3"/>
    <m/>
    <x v="61"/>
    <x v="9"/>
    <m/>
    <m/>
    <x v="33"/>
    <x v="31"/>
    <x v="26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1">
  <r>
    <s v="V001"/>
    <d v="2026-06-01T00:00:00"/>
    <s v="P001"/>
    <n v="2"/>
    <s v="Medellín"/>
    <s v="Laura"/>
    <s v="Tienda"/>
    <x v="0"/>
    <x v="0"/>
    <n v="5000"/>
    <n v="2800"/>
    <n v="10000"/>
    <n v="5600"/>
    <n v="4400"/>
    <n v="0.44"/>
  </r>
  <r>
    <s v="V002"/>
    <d v="2026-06-01T00:00:00"/>
    <s v="P014"/>
    <n v="1"/>
    <s v="Bogotá"/>
    <s v="Felipe"/>
    <s v="App"/>
    <x v="1"/>
    <x v="1"/>
    <n v="2000"/>
    <n v="1300"/>
    <n v="2000"/>
    <n v="1300"/>
    <n v="700"/>
    <n v="0.35"/>
  </r>
  <r>
    <s v="V003"/>
    <d v="2026-06-01T00:00:00"/>
    <s v="P025"/>
    <n v="3"/>
    <s v="Cali"/>
    <s v="Andrés"/>
    <s v="Tienda"/>
    <x v="2"/>
    <x v="0"/>
    <n v="14000"/>
    <n v="9000"/>
    <n v="42000"/>
    <n v="27000"/>
    <n v="15000"/>
    <n v="0.36"/>
  </r>
  <r>
    <s v="V004"/>
    <d v="2026-06-01T00:00:00"/>
    <s v="P038"/>
    <n v="1"/>
    <s v="Medellín"/>
    <s v="Laura"/>
    <s v="App"/>
    <x v="3"/>
    <x v="2"/>
    <n v="8000"/>
    <n v="5000"/>
    <n v="8000"/>
    <n v="5000"/>
    <n v="3000"/>
    <n v="0.38"/>
  </r>
  <r>
    <s v="V005"/>
    <d v="2026-06-01T00:00:00"/>
    <s v="P052"/>
    <n v="4"/>
    <s v="Bogotá"/>
    <s v="Felipe"/>
    <s v="Tienda"/>
    <x v="4"/>
    <x v="3"/>
    <n v="3000"/>
    <n v="1800"/>
    <n v="12000"/>
    <n v="7200"/>
    <n v="4800"/>
    <n v="0.4"/>
  </r>
  <r>
    <s v="V006"/>
    <d v="2026-06-02T00:00:00"/>
    <s v="P009"/>
    <n v="2"/>
    <s v="Cali"/>
    <s v="Andrés"/>
    <s v="App"/>
    <x v="5"/>
    <x v="4"/>
    <n v="2800"/>
    <n v="1700"/>
    <n v="5600"/>
    <n v="3400"/>
    <n v="2200"/>
    <n v="0.39"/>
  </r>
  <r>
    <s v="V007"/>
    <d v="2026-06-02T00:00:00"/>
    <s v="P033"/>
    <n v="1"/>
    <s v="Medellín"/>
    <s v="Laura"/>
    <s v="Tienda"/>
    <x v="6"/>
    <x v="5"/>
    <n v="12000"/>
    <n v="8000"/>
    <n v="12000"/>
    <n v="8000"/>
    <n v="4000"/>
    <n v="0.33"/>
  </r>
  <r>
    <s v="V008"/>
    <d v="2026-06-02T00:00:00"/>
    <s v="P067"/>
    <n v="2"/>
    <s v="Bogotá"/>
    <s v="Felipe"/>
    <s v="App"/>
    <x v="7"/>
    <x v="1"/>
    <n v="5000"/>
    <n v="3000"/>
    <n v="10000"/>
    <n v="6000"/>
    <n v="4000"/>
    <n v="0.4"/>
  </r>
  <r>
    <s v="V009"/>
    <d v="2026-06-02T00:00:00"/>
    <s v="P081"/>
    <n v="5"/>
    <s v="Cali"/>
    <s v="Andrés"/>
    <s v="Tienda"/>
    <x v="8"/>
    <x v="3"/>
    <n v="3200"/>
    <n v="2000"/>
    <n v="16000"/>
    <n v="10000"/>
    <n v="6000"/>
    <n v="0.38"/>
  </r>
  <r>
    <s v="V010"/>
    <d v="2026-06-02T00:00:00"/>
    <s v="P099"/>
    <n v="2"/>
    <s v="Medellín"/>
    <s v="Laura"/>
    <s v="App"/>
    <x v="9"/>
    <x v="0"/>
    <n v="2500"/>
    <n v="1500"/>
    <n v="5000"/>
    <n v="3000"/>
    <n v="2000"/>
    <n v="0.4"/>
  </r>
  <r>
    <s v="V011"/>
    <d v="2026-06-03T00:00:00"/>
    <s v="P020"/>
    <n v="1"/>
    <s v="Bogotá"/>
    <s v="Felipe"/>
    <s v="Tienda"/>
    <x v="10"/>
    <x v="1"/>
    <n v="12000"/>
    <n v="8500"/>
    <n v="12000"/>
    <n v="8500"/>
    <n v="3500"/>
    <n v="0.28999999999999998"/>
  </r>
  <r>
    <s v="V012"/>
    <d v="2026-06-03T00:00:00"/>
    <s v="P045"/>
    <n v="3"/>
    <s v="Cali"/>
    <s v="Andrés"/>
    <s v="App"/>
    <x v="11"/>
    <x v="2"/>
    <n v="6500"/>
    <n v="4000"/>
    <n v="19500"/>
    <n v="12000"/>
    <n v="7500"/>
    <n v="0.38"/>
  </r>
  <r>
    <s v="V013"/>
    <d v="2026-06-03T00:00:00"/>
    <s v="P060"/>
    <n v="2"/>
    <s v="Medellín"/>
    <s v="Laura"/>
    <s v="Tienda"/>
    <x v="12"/>
    <x v="0"/>
    <n v="3500"/>
    <n v="2000"/>
    <n v="7000"/>
    <n v="4000"/>
    <n v="3000"/>
    <n v="0.43"/>
  </r>
  <r>
    <s v="V014"/>
    <d v="2026-06-03T00:00:00"/>
    <s v="P075"/>
    <n v="1"/>
    <s v="Bogotá"/>
    <s v="Felipe"/>
    <s v="App"/>
    <x v="13"/>
    <x v="6"/>
    <n v="14000"/>
    <n v="9000"/>
    <n v="14000"/>
    <n v="9000"/>
    <n v="5000"/>
    <n v="0.36"/>
  </r>
  <r>
    <s v="V015"/>
    <d v="2026-06-03T00:00:00"/>
    <s v="P088"/>
    <n v="4"/>
    <s v="Cali"/>
    <s v="Andrés"/>
    <s v="Tienda"/>
    <x v="14"/>
    <x v="2"/>
    <n v="6500"/>
    <n v="4000"/>
    <n v="26000"/>
    <n v="16000"/>
    <n v="10000"/>
    <n v="0.38"/>
  </r>
  <r>
    <s v="V016"/>
    <d v="2026-06-04T00:00:00"/>
    <s v="P003"/>
    <n v="2"/>
    <s v="Medellín"/>
    <s v="Laura"/>
    <s v="App"/>
    <x v="15"/>
    <x v="0"/>
    <n v="4800"/>
    <n v="2600"/>
    <n v="9600"/>
    <n v="5200"/>
    <n v="4400"/>
    <n v="0.46"/>
  </r>
  <r>
    <s v="V017"/>
    <d v="2026-06-04T00:00:00"/>
    <s v="P017"/>
    <n v="1"/>
    <s v="Bogotá"/>
    <s v="Felipe"/>
    <s v="Tienda"/>
    <x v="16"/>
    <x v="1"/>
    <n v="3600"/>
    <n v="2600"/>
    <n v="3600"/>
    <n v="2600"/>
    <n v="1000"/>
    <n v="0.28000000000000003"/>
  </r>
  <r>
    <s v="V018"/>
    <d v="2026-06-04T00:00:00"/>
    <s v="P031"/>
    <n v="3"/>
    <s v="Cali"/>
    <s v="Andrés"/>
    <s v="App"/>
    <x v="17"/>
    <x v="6"/>
    <n v="5000"/>
    <n v="3500"/>
    <n v="15000"/>
    <n v="10500"/>
    <n v="4500"/>
    <n v="0.3"/>
  </r>
  <r>
    <s v="V019"/>
    <d v="2026-06-04T00:00:00"/>
    <s v="P049"/>
    <n v="2"/>
    <s v="Medellín"/>
    <s v="Laura"/>
    <s v="Tienda"/>
    <x v="18"/>
    <x v="3"/>
    <n v="3000"/>
    <n v="1800"/>
    <n v="6000"/>
    <n v="3600"/>
    <n v="2400"/>
    <n v="0.4"/>
  </r>
  <r>
    <s v="V020"/>
    <d v="2026-06-04T00:00:00"/>
    <s v="P070"/>
    <n v="1"/>
    <s v="Bogotá"/>
    <s v="Felipe"/>
    <s v="App"/>
    <x v="19"/>
    <x v="1"/>
    <n v="3200"/>
    <n v="2000"/>
    <n v="3200"/>
    <n v="2000"/>
    <n v="1200"/>
    <n v="0.38"/>
  </r>
  <r>
    <s v="V021"/>
    <d v="2026-06-05T00:00:00"/>
    <s v="P012"/>
    <n v="2"/>
    <s v="Cali"/>
    <s v="Andrés"/>
    <s v="Tienda"/>
    <x v="20"/>
    <x v="4"/>
    <n v="14000"/>
    <n v="9000"/>
    <n v="28000"/>
    <n v="18000"/>
    <n v="10000"/>
    <n v="0.36"/>
  </r>
  <r>
    <s v="V022"/>
    <d v="2026-06-05T00:00:00"/>
    <s v="P028"/>
    <n v="1"/>
    <s v="Medellín"/>
    <s v="Laura"/>
    <s v="App"/>
    <x v="21"/>
    <x v="6"/>
    <n v="4500"/>
    <n v="3200"/>
    <n v="4500"/>
    <n v="3200"/>
    <n v="1300"/>
    <n v="0.28999999999999998"/>
  </r>
  <r>
    <s v="V023"/>
    <d v="2026-06-05T00:00:00"/>
    <s v="P041"/>
    <n v="3"/>
    <s v="Bogotá"/>
    <s v="Felipe"/>
    <s v="Tienda"/>
    <x v="22"/>
    <x v="2"/>
    <n v="9000"/>
    <n v="6000"/>
    <n v="27000"/>
    <n v="18000"/>
    <n v="9000"/>
    <n v="0.33"/>
  </r>
  <r>
    <s v="V024"/>
    <d v="2026-06-05T00:00:00"/>
    <s v="P056"/>
    <n v="2"/>
    <s v="Cali"/>
    <s v="Andrés"/>
    <s v="App"/>
    <x v="23"/>
    <x v="7"/>
    <n v="3500"/>
    <n v="2000"/>
    <n v="7000"/>
    <n v="4000"/>
    <n v="3000"/>
    <n v="0.43"/>
  </r>
  <r>
    <s v="V025"/>
    <d v="2026-06-05T00:00:00"/>
    <s v="P064"/>
    <n v="1"/>
    <s v="Medellín"/>
    <s v="Laura"/>
    <s v="Tienda"/>
    <x v="24"/>
    <x v="0"/>
    <n v="6500"/>
    <n v="4000"/>
    <n v="6500"/>
    <n v="4000"/>
    <n v="2500"/>
    <n v="0.38"/>
  </r>
  <r>
    <s v="V026"/>
    <d v="2026-06-06T00:00:00"/>
    <s v="P073"/>
    <n v="2"/>
    <s v="Bogotá"/>
    <s v="Felipe"/>
    <s v="App"/>
    <x v="25"/>
    <x v="1"/>
    <n v="4000"/>
    <n v="2500"/>
    <n v="8000"/>
    <n v="5000"/>
    <n v="3000"/>
    <n v="0.38"/>
  </r>
  <r>
    <s v="V027"/>
    <d v="2026-06-06T00:00:00"/>
    <s v="P086"/>
    <n v="1"/>
    <s v="Cali"/>
    <s v="Andrés"/>
    <s v="Tienda"/>
    <x v="26"/>
    <x v="2"/>
    <n v="6000"/>
    <n v="3500"/>
    <n v="6000"/>
    <n v="3500"/>
    <n v="2500"/>
    <n v="0.42"/>
  </r>
  <r>
    <s v="V028"/>
    <d v="2026-06-06T00:00:00"/>
    <s v="P092"/>
    <n v="3"/>
    <s v="Medellín"/>
    <s v="Laura"/>
    <s v="App"/>
    <x v="27"/>
    <x v="1"/>
    <n v="4500"/>
    <n v="3000"/>
    <n v="13500"/>
    <n v="9000"/>
    <n v="4500"/>
    <n v="0.33"/>
  </r>
  <r>
    <s v="V029"/>
    <d v="2026-06-06T00:00:00"/>
    <s v="P097"/>
    <n v="2"/>
    <s v="Bogotá"/>
    <s v="Felipe"/>
    <s v="Tienda"/>
    <x v="28"/>
    <x v="6"/>
    <n v="4000"/>
    <n v="2500"/>
    <n v="8000"/>
    <n v="5000"/>
    <n v="3000"/>
    <n v="0.38"/>
  </r>
  <r>
    <s v="V030"/>
    <d v="2026-06-06T00:00:00"/>
    <s v="P010"/>
    <n v="1"/>
    <s v="Cali"/>
    <s v="Andrés"/>
    <s v="App"/>
    <x v="29"/>
    <x v="4"/>
    <n v="18000"/>
    <n v="12000"/>
    <n v="18000"/>
    <n v="12000"/>
    <n v="6000"/>
    <n v="0.33"/>
  </r>
  <r>
    <s v="V031"/>
    <d v="2026-06-07T00:00:00"/>
    <s v="P021"/>
    <n v="2"/>
    <s v="Medellín"/>
    <s v="Laura"/>
    <s v="Tienda"/>
    <x v="30"/>
    <x v="1"/>
    <n v="3800"/>
    <n v="2600"/>
    <n v="7600"/>
    <n v="5200"/>
    <n v="2400"/>
    <n v="0.32"/>
  </r>
  <r>
    <s v="V032"/>
    <d v="2026-06-07T00:00:00"/>
    <s v="P034"/>
    <n v="1"/>
    <s v="Bogotá"/>
    <s v="Felipe"/>
    <s v="App"/>
    <x v="31"/>
    <x v="5"/>
    <n v="15000"/>
    <n v="10000"/>
    <n v="15000"/>
    <n v="10000"/>
    <n v="5000"/>
    <n v="0.33"/>
  </r>
  <r>
    <s v="V033"/>
    <d v="2026-06-07T00:00:00"/>
    <s v="P047"/>
    <n v="3"/>
    <s v="Cali"/>
    <s v="Andrés"/>
    <s v="Tienda"/>
    <x v="32"/>
    <x v="3"/>
    <n v="1600"/>
    <n v="900"/>
    <n v="4800"/>
    <n v="2700"/>
    <n v="2100"/>
    <n v="0.44"/>
  </r>
  <r>
    <s v="V034"/>
    <d v="2026-06-07T00:00:00"/>
    <s v="P059"/>
    <n v="2"/>
    <s v="Medellín"/>
    <s v="Laura"/>
    <s v="App"/>
    <x v="33"/>
    <x v="0"/>
    <n v="3000"/>
    <n v="1800"/>
    <n v="6000"/>
    <n v="3600"/>
    <n v="2400"/>
    <n v="0.4"/>
  </r>
  <r>
    <s v="V035"/>
    <d v="2026-06-07T00:00:00"/>
    <s v="P071"/>
    <n v="1"/>
    <s v="Bogotá"/>
    <s v="Felipe"/>
    <s v="Tienda"/>
    <x v="34"/>
    <x v="1"/>
    <n v="3200"/>
    <n v="2000"/>
    <n v="3200"/>
    <n v="2000"/>
    <n v="1200"/>
    <n v="0.38"/>
  </r>
  <r>
    <s v="V036"/>
    <d v="2026-06-08T00:00:00"/>
    <s v="P082"/>
    <n v="2"/>
    <s v="Cali"/>
    <s v="Andrés"/>
    <s v="App"/>
    <x v="35"/>
    <x v="3"/>
    <n v="5000"/>
    <n v="3000"/>
    <n v="10000"/>
    <n v="6000"/>
    <n v="4000"/>
    <n v="0.4"/>
  </r>
  <r>
    <s v="V037"/>
    <d v="2026-06-08T00:00:00"/>
    <s v="P093"/>
    <n v="1"/>
    <s v="Medellín"/>
    <s v="Laura"/>
    <s v="Tienda"/>
    <x v="36"/>
    <x v="1"/>
    <n v="9000"/>
    <n v="6000"/>
    <n v="9000"/>
    <n v="6000"/>
    <n v="3000"/>
    <n v="0.33"/>
  </r>
  <r>
    <s v="V038"/>
    <d v="2026-06-08T00:00:00"/>
    <s v="P006"/>
    <n v="3"/>
    <s v="Bogotá"/>
    <s v="Felipe"/>
    <s v="App"/>
    <x v="37"/>
    <x v="0"/>
    <n v="2000"/>
    <n v="1200"/>
    <n v="6000"/>
    <n v="3600"/>
    <n v="2400"/>
    <n v="0.4"/>
  </r>
  <r>
    <s v="V039"/>
    <d v="2026-06-08T00:00:00"/>
    <s v="P018"/>
    <n v="2"/>
    <s v="Cali"/>
    <s v="Andrés"/>
    <s v="Tienda"/>
    <x v="38"/>
    <x v="1"/>
    <n v="3000"/>
    <n v="1800"/>
    <n v="6000"/>
    <n v="3600"/>
    <n v="2400"/>
    <n v="0.4"/>
  </r>
  <r>
    <s v="V040"/>
    <d v="2026-06-08T00:00:00"/>
    <s v="P030"/>
    <n v="1"/>
    <s v="Medellín"/>
    <s v="Laura"/>
    <s v="App"/>
    <x v="39"/>
    <x v="6"/>
    <n v="6500"/>
    <n v="4500"/>
    <n v="6500"/>
    <n v="4500"/>
    <n v="2000"/>
    <n v="0.31"/>
  </r>
  <r>
    <s v="V041"/>
    <d v="2026-06-09T00:00:00"/>
    <s v="P042"/>
    <n v="2"/>
    <s v="Bogotá"/>
    <s v="Felipe"/>
    <s v="Tienda"/>
    <x v="40"/>
    <x v="2"/>
    <n v="9000"/>
    <n v="6000"/>
    <n v="18000"/>
    <n v="12000"/>
    <n v="6000"/>
    <n v="0.33"/>
  </r>
  <r>
    <s v="V042"/>
    <d v="2026-06-09T00:00:00"/>
    <s v="P054"/>
    <n v="1"/>
    <s v="Cali"/>
    <s v="Andrés"/>
    <s v="App"/>
    <x v="41"/>
    <x v="7"/>
    <n v="2000"/>
    <n v="1200"/>
    <n v="2000"/>
    <n v="1200"/>
    <n v="800"/>
    <n v="0.4"/>
  </r>
  <r>
    <s v="V043"/>
    <d v="2026-06-09T00:00:00"/>
    <s v="P066"/>
    <n v="3"/>
    <s v="Medellín"/>
    <s v="Laura"/>
    <s v="Tienda"/>
    <x v="42"/>
    <x v="1"/>
    <n v="6500"/>
    <n v="4000"/>
    <n v="19500"/>
    <n v="12000"/>
    <n v="7500"/>
    <n v="0.38"/>
  </r>
  <r>
    <s v="V044"/>
    <d v="2026-06-09T00:00:00"/>
    <s v="P078"/>
    <n v="2"/>
    <s v="Bogotá"/>
    <s v="Felipe"/>
    <s v="App"/>
    <x v="43"/>
    <x v="0"/>
    <n v="3000"/>
    <n v="1800"/>
    <n v="6000"/>
    <n v="3600"/>
    <n v="2400"/>
    <n v="0.4"/>
  </r>
  <r>
    <s v="V045"/>
    <d v="2026-06-09T00:00:00"/>
    <s v="P090"/>
    <n v="1"/>
    <s v="Cali"/>
    <s v="Andrés"/>
    <s v="Tienda"/>
    <x v="44"/>
    <x v="2"/>
    <n v="8000"/>
    <n v="5000"/>
    <n v="8000"/>
    <n v="5000"/>
    <n v="3000"/>
    <n v="0.38"/>
  </r>
  <r>
    <s v="V046"/>
    <d v="2026-06-10T00:00:00"/>
    <s v="P002"/>
    <n v="2"/>
    <s v="Medellín"/>
    <s v="Laura"/>
    <s v="App"/>
    <x v="45"/>
    <x v="0"/>
    <n v="4800"/>
    <n v="2700"/>
    <n v="9600"/>
    <n v="5400"/>
    <n v="4200"/>
    <n v="0.44"/>
  </r>
  <r>
    <s v="V047"/>
    <d v="2026-06-10T00:00:00"/>
    <s v="P015"/>
    <n v="1"/>
    <s v="Bogotá"/>
    <s v="Felipe"/>
    <s v="Tienda"/>
    <x v="46"/>
    <x v="1"/>
    <n v="3200"/>
    <n v="2200"/>
    <n v="3200"/>
    <n v="2200"/>
    <n v="1000"/>
    <n v="0.31"/>
  </r>
  <r>
    <s v="V048"/>
    <d v="2026-06-10T00:00:00"/>
    <s v="P027"/>
    <n v="3"/>
    <s v="Cali"/>
    <s v="Andrés"/>
    <s v="App"/>
    <x v="47"/>
    <x v="6"/>
    <n v="4200"/>
    <n v="3000"/>
    <n v="12600"/>
    <n v="9000"/>
    <n v="3600"/>
    <n v="0.28999999999999998"/>
  </r>
  <r>
    <s v="V049"/>
    <d v="2026-06-10T00:00:00"/>
    <s v="P039"/>
    <n v="2"/>
    <s v="Medellín"/>
    <s v="Laura"/>
    <s v="Tienda"/>
    <x v="48"/>
    <x v="2"/>
    <n v="14000"/>
    <n v="9000"/>
    <n v="28000"/>
    <n v="18000"/>
    <n v="10000"/>
    <n v="0.36"/>
  </r>
  <r>
    <s v="V050"/>
    <d v="2026-06-10T00:00:00"/>
    <s v="P051"/>
    <n v="1"/>
    <s v="Bogotá"/>
    <s v="Felipe"/>
    <s v="App"/>
    <x v="49"/>
    <x v="3"/>
    <n v="4000"/>
    <n v="2500"/>
    <n v="4000"/>
    <n v="2500"/>
    <n v="1500"/>
    <n v="0.38"/>
  </r>
  <r>
    <s v="V051"/>
    <d v="2026-06-11T00:00:00"/>
    <s v="P063"/>
    <n v="2"/>
    <s v="Cali"/>
    <s v="Andrés"/>
    <s v="App"/>
    <x v="50"/>
    <x v="0"/>
    <n v="7000"/>
    <n v="4500"/>
    <n v="14000"/>
    <n v="9000"/>
    <n v="5000"/>
    <n v="0.36"/>
  </r>
  <r>
    <s v="V052"/>
    <d v="2026-06-11T00:00:00"/>
    <s v="P074"/>
    <n v="1"/>
    <s v="Medellín"/>
    <s v="Laura"/>
    <s v="Tienda"/>
    <x v="51"/>
    <x v="0"/>
    <n v="5000"/>
    <n v="3000"/>
    <n v="5000"/>
    <n v="3000"/>
    <n v="2000"/>
    <n v="0.4"/>
  </r>
  <r>
    <s v="V053"/>
    <d v="2026-06-11T00:00:00"/>
    <s v="P083"/>
    <n v="3"/>
    <s v="Bogotá"/>
    <s v="Felipe"/>
    <s v="App"/>
    <x v="52"/>
    <x v="3"/>
    <n v="1500"/>
    <n v="800"/>
    <n v="4500"/>
    <n v="2400"/>
    <n v="2100"/>
    <n v="0.47"/>
  </r>
  <r>
    <s v="V054"/>
    <d v="2026-06-11T00:00:00"/>
    <s v="P091"/>
    <n v="2"/>
    <s v="Cali"/>
    <s v="Andrés"/>
    <s v="Tienda"/>
    <x v="53"/>
    <x v="2"/>
    <n v="6500"/>
    <n v="4000"/>
    <n v="13000"/>
    <n v="8000"/>
    <n v="5000"/>
    <n v="0.38"/>
  </r>
  <r>
    <s v="V055"/>
    <d v="2026-06-11T00:00:00"/>
    <s v="P098"/>
    <n v="1"/>
    <s v="Medellín"/>
    <s v="Laura"/>
    <s v="App"/>
    <x v="54"/>
    <x v="0"/>
    <n v="3500"/>
    <n v="2000"/>
    <n v="3500"/>
    <n v="2000"/>
    <n v="1500"/>
    <n v="0.43"/>
  </r>
  <r>
    <s v="V056"/>
    <d v="2026-06-12T00:00:00"/>
    <s v="P004"/>
    <n v="2"/>
    <s v="Bogotá"/>
    <s v="Felipe"/>
    <s v="Tienda"/>
    <x v="55"/>
    <x v="0"/>
    <n v="4800"/>
    <n v="2600"/>
    <n v="9600"/>
    <n v="5200"/>
    <n v="4400"/>
    <n v="0.46"/>
  </r>
  <r>
    <s v="V057"/>
    <d v="2026-06-12T00:00:00"/>
    <s v="P016"/>
    <n v="1"/>
    <s v="Cali"/>
    <s v="Andrés"/>
    <s v="App"/>
    <x v="56"/>
    <x v="1"/>
    <n v="3400"/>
    <n v="2400"/>
    <n v="3400"/>
    <n v="2400"/>
    <n v="1000"/>
    <n v="0.28999999999999998"/>
  </r>
  <r>
    <s v="V058"/>
    <d v="2026-06-12T00:00:00"/>
    <s v="P029"/>
    <n v="3"/>
    <s v="Medellín"/>
    <s v="Laura"/>
    <s v="Tienda"/>
    <x v="57"/>
    <x v="6"/>
    <n v="3500"/>
    <n v="2000"/>
    <n v="10500"/>
    <n v="6000"/>
    <n v="4500"/>
    <n v="0.43"/>
  </r>
  <r>
    <s v="V059"/>
    <d v="2026-06-12T00:00:00"/>
    <s v="P044"/>
    <n v="2"/>
    <s v="Bogotá"/>
    <s v="Felipe"/>
    <s v="App"/>
    <x v="58"/>
    <x v="2"/>
    <n v="3500"/>
    <n v="2000"/>
    <n v="7000"/>
    <n v="4000"/>
    <n v="3000"/>
    <n v="0.43"/>
  </r>
  <r>
    <s v="V060"/>
    <d v="2026-06-12T00:00:00"/>
    <s v="P058"/>
    <n v="1"/>
    <s v="Cali"/>
    <s v="Andrés"/>
    <s v="Tienda"/>
    <x v="59"/>
    <x v="6"/>
    <n v="4000"/>
    <n v="2500"/>
    <n v="4000"/>
    <n v="2500"/>
    <n v="1500"/>
    <n v="0.38"/>
  </r>
  <r>
    <s v="V061"/>
    <d v="2026-07-12T00:00:00"/>
    <s v="P0101"/>
    <n v="1"/>
    <s v="Medellín"/>
    <s v="Andrés"/>
    <s v="Tienda"/>
    <x v="60"/>
    <x v="8"/>
    <s v="No encontrado"/>
    <s v="No encontrado"/>
    <n v="0"/>
    <n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EE2A94-BAEF-4C90-9034-68C8723CD7E8}" name="TablaDinámica9" cacheId="1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1">
  <location ref="Q18:R29" firstHeaderRow="1" firstDataRow="1" firstDataCol="1"/>
  <pivotFields count="15">
    <pivotField showAll="0"/>
    <pivotField numFmtId="14" showAll="0"/>
    <pivotField showAll="0"/>
    <pivotField showAll="0"/>
    <pivotField showAll="0"/>
    <pivotField showAll="0"/>
    <pivotField showAll="0"/>
    <pivotField axis="axisRow" showAll="0" measureFilter="1">
      <items count="62">
        <item x="10"/>
        <item x="40"/>
        <item x="37"/>
        <item x="9"/>
        <item x="53"/>
        <item x="1"/>
        <item x="27"/>
        <item x="19"/>
        <item x="30"/>
        <item x="52"/>
        <item x="2"/>
        <item x="31"/>
        <item x="5"/>
        <item x="51"/>
        <item x="49"/>
        <item x="35"/>
        <item x="58"/>
        <item x="0"/>
        <item x="11"/>
        <item x="32"/>
        <item x="55"/>
        <item x="56"/>
        <item x="8"/>
        <item x="16"/>
        <item x="24"/>
        <item x="50"/>
        <item x="43"/>
        <item x="12"/>
        <item x="33"/>
        <item x="28"/>
        <item x="21"/>
        <item x="13"/>
        <item x="47"/>
        <item x="46"/>
        <item x="34"/>
        <item x="17"/>
        <item x="42"/>
        <item x="7"/>
        <item x="60"/>
        <item x="18"/>
        <item x="41"/>
        <item x="25"/>
        <item x="4"/>
        <item x="3"/>
        <item x="48"/>
        <item x="38"/>
        <item x="26"/>
        <item x="45"/>
        <item x="6"/>
        <item x="39"/>
        <item x="36"/>
        <item x="20"/>
        <item x="22"/>
        <item x="15"/>
        <item x="44"/>
        <item x="54"/>
        <item x="14"/>
        <item x="23"/>
        <item x="29"/>
        <item x="57"/>
        <item x="59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7"/>
  </rowFields>
  <rowItems count="11">
    <i>
      <x v="1"/>
    </i>
    <i>
      <x v="10"/>
    </i>
    <i>
      <x v="18"/>
    </i>
    <i>
      <x v="22"/>
    </i>
    <i>
      <x v="36"/>
    </i>
    <i>
      <x v="44"/>
    </i>
    <i>
      <x v="51"/>
    </i>
    <i>
      <x v="52"/>
    </i>
    <i>
      <x v="56"/>
    </i>
    <i>
      <x v="58"/>
    </i>
    <i t="grand">
      <x/>
    </i>
  </rowItems>
  <colItems count="1">
    <i/>
  </colItems>
  <dataFields count="1">
    <dataField name="Suma de Ingreso" fld="11" baseField="7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7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4A1CEE-81F9-4E3E-83C8-48A982466BD9}" name="TablaDinámica7" cacheId="1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2">
  <location ref="Q7:R17" firstHeaderRow="1" firstDataRow="1" firstDataCol="1"/>
  <pivotFields count="15">
    <pivotField showAll="0"/>
    <pivotField numFmtId="14" showAll="0"/>
    <pivotField showAll="0"/>
    <pivotField showAll="0"/>
    <pivotField showAll="0"/>
    <pivotField showAll="0"/>
    <pivotField showAll="0"/>
    <pivotField showAll="0"/>
    <pivotField axis="axisRow" showAll="0">
      <items count="10">
        <item x="1"/>
        <item x="2"/>
        <item x="0"/>
        <item x="6"/>
        <item x="4"/>
        <item x="8"/>
        <item x="7"/>
        <item x="5"/>
        <item x="3"/>
        <item t="default"/>
      </items>
    </pivotField>
    <pivotField showAll="0"/>
    <pivotField showAll="0"/>
    <pivotField showAll="0"/>
    <pivotField showAll="0"/>
    <pivotField dataField="1" showAll="0"/>
    <pivotField showAll="0"/>
  </pivotFields>
  <rowFields count="1">
    <field x="8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Suma de Ganancia" fld="13" baseField="0" baseItem="0"/>
  </dataFields>
  <chartFormats count="10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1" format="6">
      <pivotArea type="data" outline="0" fieldPosition="0">
        <references count="2">
          <reference field="4294967294" count="1" selected="0">
            <x v="0"/>
          </reference>
          <reference field="8" count="1" selected="0">
            <x v="5"/>
          </reference>
        </references>
      </pivotArea>
    </chartFormat>
    <chartFormat chart="1" format="7">
      <pivotArea type="data" outline="0" fieldPosition="0">
        <references count="2">
          <reference field="4294967294" count="1" selected="0">
            <x v="0"/>
          </reference>
          <reference field="8" count="1" selected="0">
            <x v="6"/>
          </reference>
        </references>
      </pivotArea>
    </chartFormat>
    <chartFormat chart="1" format="8">
      <pivotArea type="data" outline="0" fieldPosition="0">
        <references count="2">
          <reference field="4294967294" count="1" selected="0">
            <x v="0"/>
          </reference>
          <reference field="8" count="1" selected="0">
            <x v="7"/>
          </reference>
        </references>
      </pivotArea>
    </chartFormat>
    <chartFormat chart="1" format="9">
      <pivotArea type="data" outline="0" fieldPosition="0">
        <references count="2">
          <reference field="4294967294" count="1" selected="0">
            <x v="0"/>
          </reference>
          <reference field="8" count="1" selected="0">
            <x v="8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FD7B48-8B0F-414E-821D-B7C78BD52177}" name="TablaDinámica4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1">
  <location ref="Q2:R6" firstHeaderRow="1" firstDataRow="1" firstDataCol="1"/>
  <pivotFields count="13">
    <pivotField showAll="0"/>
    <pivotField showAll="0"/>
    <pivotField axis="axisRow" showAll="0">
      <items count="5">
        <item x="1"/>
        <item x="2"/>
        <item x="0"/>
        <item x="3"/>
        <item t="default"/>
      </items>
    </pivotField>
    <pivotField showAll="0">
      <items count="5">
        <item x="2"/>
        <item x="1"/>
        <item x="0"/>
        <item h="1" x="3"/>
        <item t="default"/>
      </items>
    </pivotField>
    <pivotField showAll="0"/>
    <pivotField showAll="0">
      <items count="63">
        <item x="10"/>
        <item x="40"/>
        <item x="37"/>
        <item x="9"/>
        <item x="53"/>
        <item x="1"/>
        <item x="27"/>
        <item x="19"/>
        <item x="30"/>
        <item x="52"/>
        <item x="2"/>
        <item x="31"/>
        <item x="5"/>
        <item x="51"/>
        <item x="49"/>
        <item x="35"/>
        <item x="58"/>
        <item x="0"/>
        <item x="11"/>
        <item x="32"/>
        <item x="55"/>
        <item x="56"/>
        <item x="8"/>
        <item x="16"/>
        <item x="24"/>
        <item x="50"/>
        <item x="43"/>
        <item x="12"/>
        <item x="33"/>
        <item x="28"/>
        <item x="21"/>
        <item x="13"/>
        <item x="47"/>
        <item x="46"/>
        <item x="34"/>
        <item x="17"/>
        <item x="42"/>
        <item x="7"/>
        <item x="60"/>
        <item x="18"/>
        <item x="41"/>
        <item x="25"/>
        <item x="4"/>
        <item x="3"/>
        <item x="48"/>
        <item x="38"/>
        <item x="26"/>
        <item x="45"/>
        <item x="6"/>
        <item x="39"/>
        <item x="36"/>
        <item x="20"/>
        <item x="22"/>
        <item x="15"/>
        <item x="44"/>
        <item x="54"/>
        <item x="14"/>
        <item x="23"/>
        <item x="29"/>
        <item x="57"/>
        <item x="59"/>
        <item x="61"/>
        <item t="default"/>
      </items>
    </pivotField>
    <pivotField showAll="0">
      <items count="11">
        <item h="1" x="1"/>
        <item x="2"/>
        <item h="1" x="0"/>
        <item h="1" x="6"/>
        <item h="1" x="4"/>
        <item h="1" x="8"/>
        <item h="1" x="7"/>
        <item h="1" x="5"/>
        <item h="1" x="3"/>
        <item h="1" x="9"/>
        <item t="default"/>
      </items>
    </pivotField>
    <pivotField showAll="0"/>
    <pivotField showAll="0"/>
    <pivotField dataField="1" showAll="0">
      <items count="35">
        <item x="32"/>
        <item x="1"/>
        <item x="16"/>
        <item x="30"/>
        <item x="29"/>
        <item x="13"/>
        <item x="27"/>
        <item x="18"/>
        <item x="24"/>
        <item x="7"/>
        <item x="5"/>
        <item x="15"/>
        <item x="20"/>
        <item x="9"/>
        <item x="23"/>
        <item x="3"/>
        <item x="25"/>
        <item x="12"/>
        <item x="0"/>
        <item x="31"/>
        <item x="4"/>
        <item x="26"/>
        <item x="28"/>
        <item x="21"/>
        <item x="10"/>
        <item x="14"/>
        <item x="6"/>
        <item x="22"/>
        <item x="8"/>
        <item x="11"/>
        <item x="19"/>
        <item x="17"/>
        <item x="2"/>
        <item x="33"/>
        <item t="default"/>
      </items>
    </pivotField>
    <pivotField showAll="0">
      <items count="33">
        <item x="30"/>
        <item x="25"/>
        <item x="1"/>
        <item x="19"/>
        <item x="27"/>
        <item x="29"/>
        <item x="28"/>
        <item x="16"/>
        <item x="23"/>
        <item x="9"/>
        <item x="21"/>
        <item x="5"/>
        <item x="22"/>
        <item x="18"/>
        <item x="12"/>
        <item x="24"/>
        <item x="3"/>
        <item x="15"/>
        <item x="26"/>
        <item x="0"/>
        <item x="7"/>
        <item x="4"/>
        <item x="6"/>
        <item x="10"/>
        <item x="13"/>
        <item x="8"/>
        <item x="17"/>
        <item x="11"/>
        <item x="14"/>
        <item x="20"/>
        <item x="2"/>
        <item x="31"/>
        <item t="default"/>
      </items>
    </pivotField>
    <pivotField showAll="0">
      <items count="28">
        <item x="25"/>
        <item x="1"/>
        <item x="21"/>
        <item x="13"/>
        <item x="16"/>
        <item x="17"/>
        <item x="24"/>
        <item x="8"/>
        <item x="20"/>
        <item x="5"/>
        <item x="15"/>
        <item x="19"/>
        <item x="3"/>
        <item x="9"/>
        <item x="23"/>
        <item x="6"/>
        <item x="22"/>
        <item x="0"/>
        <item x="14"/>
        <item x="4"/>
        <item x="11"/>
        <item x="7"/>
        <item x="10"/>
        <item x="18"/>
        <item x="12"/>
        <item x="2"/>
        <item x="26"/>
        <item t="default"/>
      </items>
    </pivotField>
    <pivotField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a de Ingreso" fld="9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iudad" xr10:uid="{E1E75849-E67B-4F2A-B33F-2468E0588052}" sourceName="Ciudad">
  <pivotTables>
    <pivotTable tabId="6" name="TablaDinámica4"/>
  </pivotTables>
  <data>
    <tabular pivotCacheId="873848977">
      <items count="4">
        <i x="1" s="1"/>
        <i x="2" s="1"/>
        <i x="0" s="1"/>
        <i x="3" s="1" nd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Vendedor" xr10:uid="{91F1F10F-3919-4ABA-8760-3FFFB6551691}" sourceName="Vendedor">
  <pivotTables>
    <pivotTable tabId="6" name="TablaDinámica4"/>
  </pivotTables>
  <data>
    <tabular pivotCacheId="873848977">
      <items count="4">
        <i x="2" s="1"/>
        <i x="1" s="1"/>
        <i x="0" s="1"/>
        <i x="3" nd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ategoria" xr10:uid="{4B911829-797B-4EB7-8299-D142666AAA7C}" sourceName="Categoria">
  <pivotTables>
    <pivotTable tabId="6" name="TablaDinámica4"/>
  </pivotTables>
  <data>
    <tabular pivotCacheId="873848977">
      <items count="10">
        <i x="1"/>
        <i x="2" s="1"/>
        <i x="0"/>
        <i x="6"/>
        <i x="4"/>
        <i x="8"/>
        <i x="7"/>
        <i x="5"/>
        <i x="3"/>
        <i x="9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iudad" xr10:uid="{A85B9E2A-FF4B-4ED1-AF64-DE756CE1CA20}" cache="SegmentaciónDeDatos_Ciudad" caption="Ciudad" rowHeight="241300"/>
  <slicer name="Vendedor" xr10:uid="{39BA06F2-DE9D-41D4-BC12-5CBE901D3D60}" cache="SegmentaciónDeDatos_Vendedor" caption="Vendedor" rowHeight="241300"/>
  <slicer name="Categoria" xr10:uid="{65974DE1-A980-4C3D-BE83-80847B1C8305}" cache="SegmentaciónDeDatos_Categoria" caption="Categoria" rowHeight="241300"/>
</slicer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DC951-ADAF-4E4F-9BA9-F2DAA93BB2BA}">
  <dimension ref="A1:F101"/>
  <sheetViews>
    <sheetView workbookViewId="0">
      <selection activeCell="C13" sqref="C13"/>
    </sheetView>
  </sheetViews>
  <sheetFormatPr baseColWidth="10" defaultRowHeight="15" x14ac:dyDescent="0.25"/>
  <cols>
    <col min="1" max="1" width="18.42578125" customWidth="1"/>
    <col min="2" max="2" width="22.28515625" customWidth="1"/>
    <col min="3" max="3" width="18.7109375" customWidth="1"/>
    <col min="4" max="4" width="20" customWidth="1"/>
    <col min="5" max="5" width="14" customWidth="1"/>
    <col min="6" max="6" width="20.140625" customWidth="1"/>
  </cols>
  <sheetData>
    <row r="1" spans="1:6" x14ac:dyDescent="0.25">
      <c r="A1" s="2" t="s">
        <v>20</v>
      </c>
      <c r="B1" s="2" t="s">
        <v>2</v>
      </c>
      <c r="C1" s="2" t="s">
        <v>3</v>
      </c>
      <c r="D1" s="2" t="s">
        <v>21</v>
      </c>
      <c r="E1" s="2" t="s">
        <v>22</v>
      </c>
      <c r="F1" s="2" t="s">
        <v>70</v>
      </c>
    </row>
    <row r="2" spans="1:6" ht="30" x14ac:dyDescent="0.25">
      <c r="A2" s="1" t="s">
        <v>23</v>
      </c>
      <c r="B2" s="1" t="s">
        <v>10</v>
      </c>
      <c r="C2" s="1" t="s">
        <v>11</v>
      </c>
      <c r="D2" s="1" t="s">
        <v>24</v>
      </c>
      <c r="E2" s="1">
        <v>2800</v>
      </c>
      <c r="F2" s="1">
        <v>5000</v>
      </c>
    </row>
    <row r="3" spans="1:6" x14ac:dyDescent="0.25">
      <c r="A3" s="1" t="s">
        <v>25</v>
      </c>
      <c r="B3" s="1" t="s">
        <v>26</v>
      </c>
      <c r="C3" s="1" t="s">
        <v>11</v>
      </c>
      <c r="D3" s="1" t="s">
        <v>27</v>
      </c>
      <c r="E3" s="1">
        <v>2700</v>
      </c>
      <c r="F3" s="1">
        <v>4800</v>
      </c>
    </row>
    <row r="4" spans="1:6" x14ac:dyDescent="0.25">
      <c r="A4" s="1" t="s">
        <v>28</v>
      </c>
      <c r="B4" s="1" t="s">
        <v>71</v>
      </c>
      <c r="C4" s="1" t="s">
        <v>11</v>
      </c>
      <c r="D4" s="1" t="s">
        <v>24</v>
      </c>
      <c r="E4" s="1">
        <v>2600</v>
      </c>
      <c r="F4" s="1">
        <v>4800</v>
      </c>
    </row>
    <row r="5" spans="1:6" x14ac:dyDescent="0.25">
      <c r="A5" s="1" t="s">
        <v>30</v>
      </c>
      <c r="B5" s="1" t="s">
        <v>72</v>
      </c>
      <c r="C5" s="1" t="s">
        <v>11</v>
      </c>
      <c r="D5" s="1" t="s">
        <v>24</v>
      </c>
      <c r="E5" s="1">
        <v>2600</v>
      </c>
      <c r="F5" s="1">
        <v>4800</v>
      </c>
    </row>
    <row r="6" spans="1:6" x14ac:dyDescent="0.25">
      <c r="A6" s="1" t="s">
        <v>31</v>
      </c>
      <c r="B6" s="1" t="s">
        <v>73</v>
      </c>
      <c r="C6" s="1" t="s">
        <v>11</v>
      </c>
      <c r="D6" s="1" t="s">
        <v>74</v>
      </c>
      <c r="E6" s="1">
        <v>800</v>
      </c>
      <c r="F6" s="1">
        <v>1500</v>
      </c>
    </row>
    <row r="7" spans="1:6" x14ac:dyDescent="0.25">
      <c r="A7" s="1" t="s">
        <v>33</v>
      </c>
      <c r="B7" s="1" t="s">
        <v>75</v>
      </c>
      <c r="C7" s="1" t="s">
        <v>11</v>
      </c>
      <c r="D7" s="1" t="s">
        <v>74</v>
      </c>
      <c r="E7" s="1">
        <v>1200</v>
      </c>
      <c r="F7" s="1">
        <v>2000</v>
      </c>
    </row>
    <row r="8" spans="1:6" ht="30" x14ac:dyDescent="0.25">
      <c r="A8" s="1" t="s">
        <v>35</v>
      </c>
      <c r="B8" s="1" t="s">
        <v>76</v>
      </c>
      <c r="C8" s="1" t="s">
        <v>13</v>
      </c>
      <c r="D8" s="1" t="s">
        <v>29</v>
      </c>
      <c r="E8" s="1">
        <v>1800</v>
      </c>
      <c r="F8" s="1">
        <v>3000</v>
      </c>
    </row>
    <row r="9" spans="1:6" ht="30" x14ac:dyDescent="0.25">
      <c r="A9" s="1" t="s">
        <v>37</v>
      </c>
      <c r="B9" s="1" t="s">
        <v>77</v>
      </c>
      <c r="C9" s="1" t="s">
        <v>13</v>
      </c>
      <c r="D9" s="1" t="s">
        <v>29</v>
      </c>
      <c r="E9" s="1">
        <v>1750</v>
      </c>
      <c r="F9" s="1">
        <v>2900</v>
      </c>
    </row>
    <row r="10" spans="1:6" x14ac:dyDescent="0.25">
      <c r="A10" s="1" t="s">
        <v>40</v>
      </c>
      <c r="B10" s="1" t="s">
        <v>78</v>
      </c>
      <c r="C10" s="1" t="s">
        <v>13</v>
      </c>
      <c r="D10" s="1" t="s">
        <v>29</v>
      </c>
      <c r="E10" s="1">
        <v>1700</v>
      </c>
      <c r="F10" s="1">
        <v>2800</v>
      </c>
    </row>
    <row r="11" spans="1:6" ht="30" x14ac:dyDescent="0.25">
      <c r="A11" s="1" t="s">
        <v>42</v>
      </c>
      <c r="B11" s="1" t="s">
        <v>79</v>
      </c>
      <c r="C11" s="1" t="s">
        <v>13</v>
      </c>
      <c r="D11" s="1" t="s">
        <v>80</v>
      </c>
      <c r="E11" s="1">
        <v>12000</v>
      </c>
      <c r="F11" s="1">
        <v>18000</v>
      </c>
    </row>
    <row r="12" spans="1:6" x14ac:dyDescent="0.25">
      <c r="A12" s="1" t="s">
        <v>44</v>
      </c>
      <c r="B12" s="1" t="s">
        <v>81</v>
      </c>
      <c r="C12" s="1" t="s">
        <v>13</v>
      </c>
      <c r="D12" s="1" t="s">
        <v>82</v>
      </c>
      <c r="E12" s="1">
        <v>11000</v>
      </c>
      <c r="F12" s="1">
        <v>17000</v>
      </c>
    </row>
    <row r="13" spans="1:6" x14ac:dyDescent="0.25">
      <c r="A13" s="1" t="s">
        <v>47</v>
      </c>
      <c r="B13" s="1" t="s">
        <v>83</v>
      </c>
      <c r="C13" s="1" t="s">
        <v>13</v>
      </c>
      <c r="D13" s="1" t="s">
        <v>5</v>
      </c>
      <c r="E13" s="1">
        <v>9000</v>
      </c>
      <c r="F13" s="1">
        <v>14000</v>
      </c>
    </row>
    <row r="14" spans="1:6" x14ac:dyDescent="0.25">
      <c r="A14" s="1" t="s">
        <v>50</v>
      </c>
      <c r="B14" s="1" t="s">
        <v>14</v>
      </c>
      <c r="C14" s="1" t="s">
        <v>15</v>
      </c>
      <c r="D14" s="1" t="s">
        <v>32</v>
      </c>
      <c r="E14" s="1">
        <v>2500</v>
      </c>
      <c r="F14" s="1">
        <v>3500</v>
      </c>
    </row>
    <row r="15" spans="1:6" x14ac:dyDescent="0.25">
      <c r="A15" s="1" t="s">
        <v>52</v>
      </c>
      <c r="B15" s="1" t="s">
        <v>84</v>
      </c>
      <c r="C15" s="1" t="s">
        <v>15</v>
      </c>
      <c r="D15" s="1" t="s">
        <v>32</v>
      </c>
      <c r="E15" s="1">
        <v>1300</v>
      </c>
      <c r="F15" s="1">
        <v>2000</v>
      </c>
    </row>
    <row r="16" spans="1:6" ht="30" x14ac:dyDescent="0.25">
      <c r="A16" s="1" t="s">
        <v>54</v>
      </c>
      <c r="B16" s="1" t="s">
        <v>34</v>
      </c>
      <c r="C16" s="1" t="s">
        <v>15</v>
      </c>
      <c r="D16" s="1" t="s">
        <v>32</v>
      </c>
      <c r="E16" s="1">
        <v>2200</v>
      </c>
      <c r="F16" s="1">
        <v>3200</v>
      </c>
    </row>
    <row r="17" spans="1:6" x14ac:dyDescent="0.25">
      <c r="A17" s="1" t="s">
        <v>56</v>
      </c>
      <c r="B17" s="1" t="s">
        <v>85</v>
      </c>
      <c r="C17" s="1" t="s">
        <v>15</v>
      </c>
      <c r="D17" s="1" t="s">
        <v>32</v>
      </c>
      <c r="E17" s="1">
        <v>2400</v>
      </c>
      <c r="F17" s="1">
        <v>3400</v>
      </c>
    </row>
    <row r="18" spans="1:6" x14ac:dyDescent="0.25">
      <c r="A18" s="1" t="s">
        <v>59</v>
      </c>
      <c r="B18" s="1" t="s">
        <v>86</v>
      </c>
      <c r="C18" s="1" t="s">
        <v>15</v>
      </c>
      <c r="D18" s="1" t="s">
        <v>32</v>
      </c>
      <c r="E18" s="1">
        <v>2600</v>
      </c>
      <c r="F18" s="1">
        <v>3600</v>
      </c>
    </row>
    <row r="19" spans="1:6" x14ac:dyDescent="0.25">
      <c r="A19" s="1" t="s">
        <v>61</v>
      </c>
      <c r="B19" s="1" t="s">
        <v>87</v>
      </c>
      <c r="C19" s="1" t="s">
        <v>15</v>
      </c>
      <c r="D19" s="1" t="s">
        <v>88</v>
      </c>
      <c r="E19" s="1">
        <v>1800</v>
      </c>
      <c r="F19" s="1">
        <v>3000</v>
      </c>
    </row>
    <row r="20" spans="1:6" x14ac:dyDescent="0.25">
      <c r="A20" s="1" t="s">
        <v>64</v>
      </c>
      <c r="B20" s="1" t="s">
        <v>89</v>
      </c>
      <c r="C20" s="1" t="s">
        <v>15</v>
      </c>
      <c r="D20" s="1" t="s">
        <v>88</v>
      </c>
      <c r="E20" s="1">
        <v>1900</v>
      </c>
      <c r="F20" s="1">
        <v>3100</v>
      </c>
    </row>
    <row r="21" spans="1:6" x14ac:dyDescent="0.25">
      <c r="A21" s="1" t="s">
        <v>67</v>
      </c>
      <c r="B21" s="1" t="s">
        <v>68</v>
      </c>
      <c r="C21" s="1" t="s">
        <v>15</v>
      </c>
      <c r="D21" s="1" t="s">
        <v>69</v>
      </c>
      <c r="E21" s="1">
        <v>8500</v>
      </c>
      <c r="F21" s="1">
        <v>12000</v>
      </c>
    </row>
    <row r="22" spans="1:6" x14ac:dyDescent="0.25">
      <c r="A22" s="1" t="s">
        <v>90</v>
      </c>
      <c r="B22" s="1" t="s">
        <v>62</v>
      </c>
      <c r="C22" s="1" t="s">
        <v>15</v>
      </c>
      <c r="D22" s="1" t="s">
        <v>63</v>
      </c>
      <c r="E22" s="1">
        <v>2600</v>
      </c>
      <c r="F22" s="1">
        <v>3800</v>
      </c>
    </row>
    <row r="23" spans="1:6" x14ac:dyDescent="0.25">
      <c r="A23" s="1" t="s">
        <v>91</v>
      </c>
      <c r="B23" s="1" t="s">
        <v>65</v>
      </c>
      <c r="C23" s="1" t="s">
        <v>15</v>
      </c>
      <c r="D23" s="1" t="s">
        <v>66</v>
      </c>
      <c r="E23" s="1">
        <v>1000</v>
      </c>
      <c r="F23" s="1">
        <v>1800</v>
      </c>
    </row>
    <row r="24" spans="1:6" x14ac:dyDescent="0.25">
      <c r="A24" s="1" t="s">
        <v>92</v>
      </c>
      <c r="B24" s="1" t="s">
        <v>93</v>
      </c>
      <c r="C24" s="1" t="s">
        <v>15</v>
      </c>
      <c r="D24" s="1" t="s">
        <v>94</v>
      </c>
      <c r="E24" s="1">
        <v>2200</v>
      </c>
      <c r="F24" s="1">
        <v>3200</v>
      </c>
    </row>
    <row r="25" spans="1:6" x14ac:dyDescent="0.25">
      <c r="A25" s="1" t="s">
        <v>95</v>
      </c>
      <c r="B25" s="1" t="s">
        <v>96</v>
      </c>
      <c r="C25" s="1" t="s">
        <v>11</v>
      </c>
      <c r="D25" s="1" t="s">
        <v>60</v>
      </c>
      <c r="E25" s="1">
        <v>7000</v>
      </c>
      <c r="F25" s="1">
        <v>11000</v>
      </c>
    </row>
    <row r="26" spans="1:6" x14ac:dyDescent="0.25">
      <c r="A26" s="1" t="s">
        <v>97</v>
      </c>
      <c r="B26" s="1" t="s">
        <v>98</v>
      </c>
      <c r="C26" s="1" t="s">
        <v>11</v>
      </c>
      <c r="D26" s="1" t="s">
        <v>99</v>
      </c>
      <c r="E26" s="1">
        <v>9000</v>
      </c>
      <c r="F26" s="1">
        <v>14000</v>
      </c>
    </row>
    <row r="27" spans="1:6" x14ac:dyDescent="0.25">
      <c r="A27" s="1" t="s">
        <v>100</v>
      </c>
      <c r="B27" s="1" t="s">
        <v>101</v>
      </c>
      <c r="C27" s="1" t="s">
        <v>11</v>
      </c>
      <c r="D27" s="1" t="s">
        <v>102</v>
      </c>
      <c r="E27" s="1">
        <v>2000</v>
      </c>
      <c r="F27" s="1">
        <v>3500</v>
      </c>
    </row>
    <row r="28" spans="1:6" x14ac:dyDescent="0.25">
      <c r="A28" s="1" t="s">
        <v>103</v>
      </c>
      <c r="B28" s="1" t="s">
        <v>104</v>
      </c>
      <c r="C28" s="1" t="s">
        <v>16</v>
      </c>
      <c r="D28" s="1" t="s">
        <v>36</v>
      </c>
      <c r="E28" s="1">
        <v>3000</v>
      </c>
      <c r="F28" s="1">
        <v>4200</v>
      </c>
    </row>
    <row r="29" spans="1:6" x14ac:dyDescent="0.25">
      <c r="A29" s="1" t="s">
        <v>105</v>
      </c>
      <c r="B29" s="1" t="s">
        <v>106</v>
      </c>
      <c r="C29" s="1" t="s">
        <v>16</v>
      </c>
      <c r="D29" s="1" t="s">
        <v>36</v>
      </c>
      <c r="E29" s="1">
        <v>3200</v>
      </c>
      <c r="F29" s="1">
        <v>4500</v>
      </c>
    </row>
    <row r="30" spans="1:6" x14ac:dyDescent="0.25">
      <c r="A30" s="1" t="s">
        <v>107</v>
      </c>
      <c r="B30" s="1" t="s">
        <v>38</v>
      </c>
      <c r="C30" s="1" t="s">
        <v>16</v>
      </c>
      <c r="D30" s="1" t="s">
        <v>39</v>
      </c>
      <c r="E30" s="1">
        <v>2000</v>
      </c>
      <c r="F30" s="1">
        <v>3500</v>
      </c>
    </row>
    <row r="31" spans="1:6" x14ac:dyDescent="0.25">
      <c r="A31" s="1" t="s">
        <v>108</v>
      </c>
      <c r="B31" s="1" t="s">
        <v>109</v>
      </c>
      <c r="C31" s="1" t="s">
        <v>16</v>
      </c>
      <c r="D31" s="1" t="s">
        <v>39</v>
      </c>
      <c r="E31" s="1">
        <v>4500</v>
      </c>
      <c r="F31" s="1">
        <v>6500</v>
      </c>
    </row>
    <row r="32" spans="1:6" x14ac:dyDescent="0.25">
      <c r="A32" s="1" t="s">
        <v>110</v>
      </c>
      <c r="B32" s="1" t="s">
        <v>111</v>
      </c>
      <c r="C32" s="1" t="s">
        <v>16</v>
      </c>
      <c r="D32" s="1" t="s">
        <v>39</v>
      </c>
      <c r="E32" s="1">
        <v>3500</v>
      </c>
      <c r="F32" s="1">
        <v>5000</v>
      </c>
    </row>
    <row r="33" spans="1:6" x14ac:dyDescent="0.25">
      <c r="A33" s="1" t="s">
        <v>112</v>
      </c>
      <c r="B33" s="1" t="s">
        <v>113</v>
      </c>
      <c r="C33" s="1" t="s">
        <v>114</v>
      </c>
      <c r="D33" s="1" t="s">
        <v>115</v>
      </c>
      <c r="E33" s="1">
        <v>12000</v>
      </c>
      <c r="F33" s="1">
        <v>18000</v>
      </c>
    </row>
    <row r="34" spans="1:6" x14ac:dyDescent="0.25">
      <c r="A34" s="1" t="s">
        <v>116</v>
      </c>
      <c r="B34" s="1" t="s">
        <v>117</v>
      </c>
      <c r="C34" s="1" t="s">
        <v>114</v>
      </c>
      <c r="D34" s="1" t="s">
        <v>118</v>
      </c>
      <c r="E34" s="1">
        <v>8000</v>
      </c>
      <c r="F34" s="1">
        <v>12000</v>
      </c>
    </row>
    <row r="35" spans="1:6" x14ac:dyDescent="0.25">
      <c r="A35" s="1" t="s">
        <v>119</v>
      </c>
      <c r="B35" s="1" t="s">
        <v>120</v>
      </c>
      <c r="C35" s="1" t="s">
        <v>114</v>
      </c>
      <c r="D35" s="1" t="s">
        <v>115</v>
      </c>
      <c r="E35" s="1">
        <v>10000</v>
      </c>
      <c r="F35" s="1">
        <v>15000</v>
      </c>
    </row>
    <row r="36" spans="1:6" x14ac:dyDescent="0.25">
      <c r="A36" s="1" t="s">
        <v>121</v>
      </c>
      <c r="B36" s="1" t="s">
        <v>122</v>
      </c>
      <c r="C36" s="1" t="s">
        <v>123</v>
      </c>
      <c r="D36" s="1" t="s">
        <v>124</v>
      </c>
      <c r="E36" s="1">
        <v>5000</v>
      </c>
      <c r="F36" s="1">
        <v>8000</v>
      </c>
    </row>
    <row r="37" spans="1:6" x14ac:dyDescent="0.25">
      <c r="A37" s="1" t="s">
        <v>125</v>
      </c>
      <c r="B37" s="1" t="s">
        <v>126</v>
      </c>
      <c r="C37" s="1" t="s">
        <v>123</v>
      </c>
      <c r="D37" s="1" t="s">
        <v>124</v>
      </c>
      <c r="E37" s="1">
        <v>4000</v>
      </c>
      <c r="F37" s="1">
        <v>6500</v>
      </c>
    </row>
    <row r="38" spans="1:6" x14ac:dyDescent="0.25">
      <c r="A38" s="1" t="s">
        <v>127</v>
      </c>
      <c r="B38" s="1" t="s">
        <v>128</v>
      </c>
      <c r="C38" s="1" t="s">
        <v>123</v>
      </c>
      <c r="D38" s="1" t="s">
        <v>124</v>
      </c>
      <c r="E38" s="1">
        <v>3500</v>
      </c>
      <c r="F38" s="1">
        <v>5500</v>
      </c>
    </row>
    <row r="39" spans="1:6" x14ac:dyDescent="0.25">
      <c r="A39" s="1" t="s">
        <v>129</v>
      </c>
      <c r="B39" s="1" t="s">
        <v>130</v>
      </c>
      <c r="C39" s="1" t="s">
        <v>12</v>
      </c>
      <c r="D39" s="1" t="s">
        <v>41</v>
      </c>
      <c r="E39" s="1">
        <v>5000</v>
      </c>
      <c r="F39" s="1">
        <v>8000</v>
      </c>
    </row>
    <row r="40" spans="1:6" x14ac:dyDescent="0.25">
      <c r="A40" s="1" t="s">
        <v>131</v>
      </c>
      <c r="B40" s="1" t="s">
        <v>132</v>
      </c>
      <c r="C40" s="1" t="s">
        <v>12</v>
      </c>
      <c r="D40" s="1" t="s">
        <v>41</v>
      </c>
      <c r="E40" s="1">
        <v>9000</v>
      </c>
      <c r="F40" s="1">
        <v>14000</v>
      </c>
    </row>
    <row r="41" spans="1:6" x14ac:dyDescent="0.25">
      <c r="A41" s="1" t="s">
        <v>133</v>
      </c>
      <c r="B41" s="1" t="s">
        <v>17</v>
      </c>
      <c r="C41" s="1" t="s">
        <v>12</v>
      </c>
      <c r="D41" s="1" t="s">
        <v>43</v>
      </c>
      <c r="E41" s="1">
        <v>1200</v>
      </c>
      <c r="F41" s="1">
        <v>2000</v>
      </c>
    </row>
    <row r="42" spans="1:6" x14ac:dyDescent="0.25">
      <c r="A42" s="1" t="s">
        <v>134</v>
      </c>
      <c r="B42" s="1" t="s">
        <v>45</v>
      </c>
      <c r="C42" s="1" t="s">
        <v>12</v>
      </c>
      <c r="D42" s="1" t="s">
        <v>46</v>
      </c>
      <c r="E42" s="1">
        <v>6000</v>
      </c>
      <c r="F42" s="1">
        <v>9000</v>
      </c>
    </row>
    <row r="43" spans="1:6" x14ac:dyDescent="0.25">
      <c r="A43" s="1" t="s">
        <v>135</v>
      </c>
      <c r="B43" s="1" t="s">
        <v>136</v>
      </c>
      <c r="C43" s="1" t="s">
        <v>12</v>
      </c>
      <c r="D43" s="1" t="s">
        <v>137</v>
      </c>
      <c r="E43" s="1">
        <v>6000</v>
      </c>
      <c r="F43" s="1">
        <v>9000</v>
      </c>
    </row>
    <row r="44" spans="1:6" x14ac:dyDescent="0.25">
      <c r="A44" s="1" t="s">
        <v>138</v>
      </c>
      <c r="B44" s="1" t="s">
        <v>48</v>
      </c>
      <c r="C44" s="1" t="s">
        <v>12</v>
      </c>
      <c r="D44" s="1" t="s">
        <v>49</v>
      </c>
      <c r="E44" s="1">
        <v>4500</v>
      </c>
      <c r="F44" s="1">
        <v>7000</v>
      </c>
    </row>
    <row r="45" spans="1:6" x14ac:dyDescent="0.25">
      <c r="A45" s="1" t="s">
        <v>139</v>
      </c>
      <c r="B45" s="1" t="s">
        <v>140</v>
      </c>
      <c r="C45" s="1" t="s">
        <v>12</v>
      </c>
      <c r="D45" s="1" t="s">
        <v>141</v>
      </c>
      <c r="E45" s="1">
        <v>2000</v>
      </c>
      <c r="F45" s="1">
        <v>3500</v>
      </c>
    </row>
    <row r="46" spans="1:6" x14ac:dyDescent="0.25">
      <c r="A46" s="1" t="s">
        <v>142</v>
      </c>
      <c r="B46" s="1" t="s">
        <v>143</v>
      </c>
      <c r="C46" s="1" t="s">
        <v>12</v>
      </c>
      <c r="D46" s="1" t="s">
        <v>144</v>
      </c>
      <c r="E46" s="1">
        <v>4000</v>
      </c>
      <c r="F46" s="1">
        <v>6500</v>
      </c>
    </row>
    <row r="47" spans="1:6" x14ac:dyDescent="0.25">
      <c r="A47" s="1" t="s">
        <v>145</v>
      </c>
      <c r="B47" s="1" t="s">
        <v>18</v>
      </c>
      <c r="C47" s="1" t="s">
        <v>19</v>
      </c>
      <c r="D47" s="1" t="s">
        <v>51</v>
      </c>
      <c r="E47" s="1">
        <v>900</v>
      </c>
      <c r="F47" s="1">
        <v>1500</v>
      </c>
    </row>
    <row r="48" spans="1:6" x14ac:dyDescent="0.25">
      <c r="A48" s="1" t="s">
        <v>146</v>
      </c>
      <c r="B48" s="1" t="s">
        <v>53</v>
      </c>
      <c r="C48" s="1" t="s">
        <v>19</v>
      </c>
      <c r="D48" s="1" t="s">
        <v>51</v>
      </c>
      <c r="E48" s="1">
        <v>900</v>
      </c>
      <c r="F48" s="1">
        <v>1600</v>
      </c>
    </row>
    <row r="49" spans="1:6" x14ac:dyDescent="0.25">
      <c r="A49" s="1" t="s">
        <v>147</v>
      </c>
      <c r="B49" s="1" t="s">
        <v>148</v>
      </c>
      <c r="C49" s="1" t="s">
        <v>19</v>
      </c>
      <c r="D49" s="1" t="s">
        <v>149</v>
      </c>
      <c r="E49" s="1">
        <v>1200</v>
      </c>
      <c r="F49" s="1">
        <v>2000</v>
      </c>
    </row>
    <row r="50" spans="1:6" x14ac:dyDescent="0.25">
      <c r="A50" s="1" t="s">
        <v>150</v>
      </c>
      <c r="B50" s="1" t="s">
        <v>151</v>
      </c>
      <c r="C50" s="1" t="s">
        <v>19</v>
      </c>
      <c r="D50" s="1" t="s">
        <v>55</v>
      </c>
      <c r="E50" s="1">
        <v>1800</v>
      </c>
      <c r="F50" s="1">
        <v>3000</v>
      </c>
    </row>
    <row r="51" spans="1:6" x14ac:dyDescent="0.25">
      <c r="A51" s="1" t="s">
        <v>152</v>
      </c>
      <c r="B51" s="1" t="s">
        <v>153</v>
      </c>
      <c r="C51" s="1" t="s">
        <v>19</v>
      </c>
      <c r="D51" s="1" t="s">
        <v>154</v>
      </c>
      <c r="E51" s="1">
        <v>2200</v>
      </c>
      <c r="F51" s="1">
        <v>3500</v>
      </c>
    </row>
    <row r="52" spans="1:6" x14ac:dyDescent="0.25">
      <c r="A52" s="1" t="s">
        <v>155</v>
      </c>
      <c r="B52" s="1" t="s">
        <v>156</v>
      </c>
      <c r="C52" s="1" t="s">
        <v>19</v>
      </c>
      <c r="D52" s="1" t="s">
        <v>157</v>
      </c>
      <c r="E52" s="1">
        <v>2500</v>
      </c>
      <c r="F52" s="1">
        <v>4000</v>
      </c>
    </row>
    <row r="53" spans="1:6" x14ac:dyDescent="0.25">
      <c r="A53" s="1" t="s">
        <v>158</v>
      </c>
      <c r="B53" s="1" t="s">
        <v>159</v>
      </c>
      <c r="C53" s="1" t="s">
        <v>19</v>
      </c>
      <c r="D53" s="1" t="s">
        <v>149</v>
      </c>
      <c r="E53" s="1">
        <v>1800</v>
      </c>
      <c r="F53" s="1">
        <v>3000</v>
      </c>
    </row>
    <row r="54" spans="1:6" x14ac:dyDescent="0.25">
      <c r="A54" s="1" t="s">
        <v>160</v>
      </c>
      <c r="B54" s="1" t="s">
        <v>161</v>
      </c>
      <c r="C54" s="1" t="s">
        <v>57</v>
      </c>
      <c r="D54" s="1" t="s">
        <v>58</v>
      </c>
      <c r="E54" s="1">
        <v>2500</v>
      </c>
      <c r="F54" s="1">
        <v>4000</v>
      </c>
    </row>
    <row r="55" spans="1:6" x14ac:dyDescent="0.25">
      <c r="A55" s="1" t="s">
        <v>162</v>
      </c>
      <c r="B55" s="1" t="s">
        <v>163</v>
      </c>
      <c r="C55" s="1" t="s">
        <v>57</v>
      </c>
      <c r="D55" s="1" t="s">
        <v>58</v>
      </c>
      <c r="E55" s="1">
        <v>1200</v>
      </c>
      <c r="F55" s="1">
        <v>2000</v>
      </c>
    </row>
    <row r="56" spans="1:6" x14ac:dyDescent="0.25">
      <c r="A56" s="1" t="s">
        <v>164</v>
      </c>
      <c r="B56" s="1" t="s">
        <v>165</v>
      </c>
      <c r="C56" s="1" t="s">
        <v>57</v>
      </c>
      <c r="D56" s="1" t="s">
        <v>115</v>
      </c>
      <c r="E56" s="1">
        <v>1500</v>
      </c>
      <c r="F56" s="1">
        <v>2500</v>
      </c>
    </row>
    <row r="57" spans="1:6" x14ac:dyDescent="0.25">
      <c r="A57" s="1" t="s">
        <v>166</v>
      </c>
      <c r="B57" s="1" t="s">
        <v>167</v>
      </c>
      <c r="C57" s="1" t="s">
        <v>57</v>
      </c>
      <c r="D57" s="1" t="s">
        <v>115</v>
      </c>
      <c r="E57" s="1">
        <v>2000</v>
      </c>
      <c r="F57" s="1">
        <v>3500</v>
      </c>
    </row>
    <row r="58" spans="1:6" x14ac:dyDescent="0.25">
      <c r="A58" s="1" t="s">
        <v>168</v>
      </c>
      <c r="B58" s="1" t="s">
        <v>169</v>
      </c>
      <c r="C58" s="1" t="s">
        <v>170</v>
      </c>
      <c r="D58" s="1" t="s">
        <v>171</v>
      </c>
      <c r="E58" s="1">
        <v>3000</v>
      </c>
      <c r="F58" s="1">
        <v>5000</v>
      </c>
    </row>
    <row r="59" spans="1:6" x14ac:dyDescent="0.25">
      <c r="A59" s="1" t="s">
        <v>172</v>
      </c>
      <c r="B59" s="1" t="s">
        <v>173</v>
      </c>
      <c r="C59" s="1" t="s">
        <v>16</v>
      </c>
      <c r="D59" s="1" t="s">
        <v>39</v>
      </c>
      <c r="E59" s="1">
        <v>2500</v>
      </c>
      <c r="F59" s="1">
        <v>4000</v>
      </c>
    </row>
    <row r="60" spans="1:6" x14ac:dyDescent="0.25">
      <c r="A60" s="1" t="s">
        <v>174</v>
      </c>
      <c r="B60" s="1" t="s">
        <v>175</v>
      </c>
      <c r="C60" s="1" t="s">
        <v>11</v>
      </c>
      <c r="D60" s="1" t="s">
        <v>176</v>
      </c>
      <c r="E60" s="1">
        <v>1800</v>
      </c>
      <c r="F60" s="1">
        <v>3000</v>
      </c>
    </row>
    <row r="61" spans="1:6" x14ac:dyDescent="0.25">
      <c r="A61" s="1" t="s">
        <v>177</v>
      </c>
      <c r="B61" s="1" t="s">
        <v>178</v>
      </c>
      <c r="C61" s="1" t="s">
        <v>11</v>
      </c>
      <c r="D61" s="1" t="s">
        <v>24</v>
      </c>
      <c r="E61" s="1">
        <v>2000</v>
      </c>
      <c r="F61" s="1">
        <v>3500</v>
      </c>
    </row>
    <row r="62" spans="1:6" x14ac:dyDescent="0.25">
      <c r="A62" s="1" t="s">
        <v>179</v>
      </c>
      <c r="B62" s="1" t="s">
        <v>180</v>
      </c>
      <c r="C62" s="1" t="s">
        <v>11</v>
      </c>
      <c r="D62" s="1" t="s">
        <v>181</v>
      </c>
      <c r="E62" s="1">
        <v>5000</v>
      </c>
      <c r="F62" s="1">
        <v>9000</v>
      </c>
    </row>
    <row r="63" spans="1:6" x14ac:dyDescent="0.25">
      <c r="A63" s="1" t="s">
        <v>182</v>
      </c>
      <c r="B63" s="1" t="s">
        <v>183</v>
      </c>
      <c r="C63" s="1" t="s">
        <v>11</v>
      </c>
      <c r="D63" s="1" t="s">
        <v>183</v>
      </c>
      <c r="E63" s="1">
        <v>6000</v>
      </c>
      <c r="F63" s="1">
        <v>10000</v>
      </c>
    </row>
    <row r="64" spans="1:6" x14ac:dyDescent="0.25">
      <c r="A64" s="1" t="s">
        <v>184</v>
      </c>
      <c r="B64" s="1" t="s">
        <v>185</v>
      </c>
      <c r="C64" s="1" t="s">
        <v>11</v>
      </c>
      <c r="D64" s="1" t="s">
        <v>24</v>
      </c>
      <c r="E64" s="1">
        <v>4500</v>
      </c>
      <c r="F64" s="1">
        <v>7000</v>
      </c>
    </row>
    <row r="65" spans="1:6" x14ac:dyDescent="0.25">
      <c r="A65" s="1" t="s">
        <v>186</v>
      </c>
      <c r="B65" s="1" t="s">
        <v>187</v>
      </c>
      <c r="C65" s="1" t="s">
        <v>11</v>
      </c>
      <c r="D65" s="1" t="s">
        <v>176</v>
      </c>
      <c r="E65" s="1">
        <v>4000</v>
      </c>
      <c r="F65" s="1">
        <v>6500</v>
      </c>
    </row>
    <row r="66" spans="1:6" x14ac:dyDescent="0.25">
      <c r="A66" s="1" t="s">
        <v>188</v>
      </c>
      <c r="B66" s="1" t="s">
        <v>189</v>
      </c>
      <c r="C66" s="1" t="s">
        <v>15</v>
      </c>
      <c r="D66" s="1" t="s">
        <v>190</v>
      </c>
      <c r="E66" s="1">
        <v>2500</v>
      </c>
      <c r="F66" s="1">
        <v>4000</v>
      </c>
    </row>
    <row r="67" spans="1:6" x14ac:dyDescent="0.25">
      <c r="A67" s="1" t="s">
        <v>191</v>
      </c>
      <c r="B67" s="1" t="s">
        <v>192</v>
      </c>
      <c r="C67" s="1" t="s">
        <v>15</v>
      </c>
      <c r="D67" s="1" t="s">
        <v>190</v>
      </c>
      <c r="E67" s="1">
        <v>4000</v>
      </c>
      <c r="F67" s="1">
        <v>6500</v>
      </c>
    </row>
    <row r="68" spans="1:6" x14ac:dyDescent="0.25">
      <c r="A68" s="1" t="s">
        <v>193</v>
      </c>
      <c r="B68" s="1" t="s">
        <v>194</v>
      </c>
      <c r="C68" s="1" t="s">
        <v>15</v>
      </c>
      <c r="D68" s="1" t="s">
        <v>195</v>
      </c>
      <c r="E68" s="1">
        <v>3000</v>
      </c>
      <c r="F68" s="1">
        <v>5000</v>
      </c>
    </row>
    <row r="69" spans="1:6" x14ac:dyDescent="0.25">
      <c r="A69" s="1" t="s">
        <v>196</v>
      </c>
      <c r="B69" s="1" t="s">
        <v>197</v>
      </c>
      <c r="C69" s="1" t="s">
        <v>15</v>
      </c>
      <c r="D69" s="1" t="s">
        <v>198</v>
      </c>
      <c r="E69" s="1">
        <v>3500</v>
      </c>
      <c r="F69" s="1">
        <v>5500</v>
      </c>
    </row>
    <row r="70" spans="1:6" x14ac:dyDescent="0.25">
      <c r="A70" s="1" t="s">
        <v>199</v>
      </c>
      <c r="B70" s="1" t="s">
        <v>200</v>
      </c>
      <c r="C70" s="1" t="s">
        <v>15</v>
      </c>
      <c r="D70" s="1" t="s">
        <v>198</v>
      </c>
      <c r="E70" s="1">
        <v>3000</v>
      </c>
      <c r="F70" s="1">
        <v>5000</v>
      </c>
    </row>
    <row r="71" spans="1:6" x14ac:dyDescent="0.25">
      <c r="A71" s="1" t="s">
        <v>201</v>
      </c>
      <c r="B71" s="1" t="s">
        <v>202</v>
      </c>
      <c r="C71" s="1" t="s">
        <v>15</v>
      </c>
      <c r="D71" s="1" t="s">
        <v>32</v>
      </c>
      <c r="E71" s="1">
        <v>2000</v>
      </c>
      <c r="F71" s="1">
        <v>3200</v>
      </c>
    </row>
    <row r="72" spans="1:6" x14ac:dyDescent="0.25">
      <c r="A72" s="1" t="s">
        <v>203</v>
      </c>
      <c r="B72" s="1" t="s">
        <v>204</v>
      </c>
      <c r="C72" s="1" t="s">
        <v>15</v>
      </c>
      <c r="D72" s="1" t="s">
        <v>32</v>
      </c>
      <c r="E72" s="1">
        <v>2000</v>
      </c>
      <c r="F72" s="1">
        <v>3200</v>
      </c>
    </row>
    <row r="73" spans="1:6" x14ac:dyDescent="0.25">
      <c r="A73" s="1" t="s">
        <v>205</v>
      </c>
      <c r="B73" s="1" t="s">
        <v>206</v>
      </c>
      <c r="C73" s="1" t="s">
        <v>15</v>
      </c>
      <c r="D73" s="1" t="s">
        <v>207</v>
      </c>
      <c r="E73" s="1">
        <v>6000</v>
      </c>
      <c r="F73" s="1">
        <v>9000</v>
      </c>
    </row>
    <row r="74" spans="1:6" x14ac:dyDescent="0.25">
      <c r="A74" s="1" t="s">
        <v>208</v>
      </c>
      <c r="B74" s="1" t="s">
        <v>209</v>
      </c>
      <c r="C74" s="1" t="s">
        <v>15</v>
      </c>
      <c r="D74" s="1" t="s">
        <v>63</v>
      </c>
      <c r="E74" s="1">
        <v>2500</v>
      </c>
      <c r="F74" s="1">
        <v>4000</v>
      </c>
    </row>
    <row r="75" spans="1:6" x14ac:dyDescent="0.25">
      <c r="A75" s="1" t="s">
        <v>210</v>
      </c>
      <c r="B75" s="1" t="s">
        <v>211</v>
      </c>
      <c r="C75" s="1" t="s">
        <v>11</v>
      </c>
      <c r="D75" s="1" t="s">
        <v>212</v>
      </c>
      <c r="E75" s="1">
        <v>3000</v>
      </c>
      <c r="F75" s="1">
        <v>5000</v>
      </c>
    </row>
    <row r="76" spans="1:6" x14ac:dyDescent="0.25">
      <c r="A76" s="1" t="s">
        <v>213</v>
      </c>
      <c r="B76" s="1" t="s">
        <v>214</v>
      </c>
      <c r="C76" s="1" t="s">
        <v>16</v>
      </c>
      <c r="D76" s="1" t="s">
        <v>215</v>
      </c>
      <c r="E76" s="1">
        <v>9000</v>
      </c>
      <c r="F76" s="1">
        <v>14000</v>
      </c>
    </row>
    <row r="77" spans="1:6" x14ac:dyDescent="0.25">
      <c r="A77" s="1" t="s">
        <v>216</v>
      </c>
      <c r="B77" s="1" t="s">
        <v>217</v>
      </c>
      <c r="C77" s="1" t="s">
        <v>11</v>
      </c>
      <c r="D77" s="1" t="s">
        <v>176</v>
      </c>
      <c r="E77" s="1">
        <v>2500</v>
      </c>
      <c r="F77" s="1">
        <v>4000</v>
      </c>
    </row>
    <row r="78" spans="1:6" x14ac:dyDescent="0.25">
      <c r="A78" s="1" t="s">
        <v>218</v>
      </c>
      <c r="B78" s="1" t="s">
        <v>219</v>
      </c>
      <c r="C78" s="1" t="s">
        <v>11</v>
      </c>
      <c r="D78" s="1" t="s">
        <v>176</v>
      </c>
      <c r="E78" s="1">
        <v>2500</v>
      </c>
      <c r="F78" s="1">
        <v>4000</v>
      </c>
    </row>
    <row r="79" spans="1:6" x14ac:dyDescent="0.25">
      <c r="A79" s="1" t="s">
        <v>220</v>
      </c>
      <c r="B79" s="1" t="s">
        <v>221</v>
      </c>
      <c r="C79" s="1" t="s">
        <v>11</v>
      </c>
      <c r="D79" s="1" t="s">
        <v>176</v>
      </c>
      <c r="E79" s="1">
        <v>1800</v>
      </c>
      <c r="F79" s="1">
        <v>3000</v>
      </c>
    </row>
    <row r="80" spans="1:6" x14ac:dyDescent="0.25">
      <c r="A80" s="1" t="s">
        <v>222</v>
      </c>
      <c r="B80" s="1" t="s">
        <v>223</v>
      </c>
      <c r="C80" s="1" t="s">
        <v>11</v>
      </c>
      <c r="D80" s="1" t="s">
        <v>176</v>
      </c>
      <c r="E80" s="1">
        <v>1800</v>
      </c>
      <c r="F80" s="1">
        <v>3000</v>
      </c>
    </row>
    <row r="81" spans="1:6" x14ac:dyDescent="0.25">
      <c r="A81" s="1" t="s">
        <v>224</v>
      </c>
      <c r="B81" s="1" t="s">
        <v>225</v>
      </c>
      <c r="C81" s="1" t="s">
        <v>11</v>
      </c>
      <c r="D81" s="1" t="s">
        <v>74</v>
      </c>
      <c r="E81" s="1">
        <v>1200</v>
      </c>
      <c r="F81" s="1">
        <v>2000</v>
      </c>
    </row>
    <row r="82" spans="1:6" x14ac:dyDescent="0.25">
      <c r="A82" s="1" t="s">
        <v>226</v>
      </c>
      <c r="B82" s="1" t="s">
        <v>227</v>
      </c>
      <c r="C82" s="1" t="s">
        <v>19</v>
      </c>
      <c r="D82" s="1" t="s">
        <v>154</v>
      </c>
      <c r="E82" s="1">
        <v>2000</v>
      </c>
      <c r="F82" s="1">
        <v>3200</v>
      </c>
    </row>
    <row r="83" spans="1:6" x14ac:dyDescent="0.25">
      <c r="A83" s="1" t="s">
        <v>228</v>
      </c>
      <c r="B83" s="1" t="s">
        <v>229</v>
      </c>
      <c r="C83" s="1" t="s">
        <v>19</v>
      </c>
      <c r="D83" s="1" t="s">
        <v>157</v>
      </c>
      <c r="E83" s="1">
        <v>3000</v>
      </c>
      <c r="F83" s="1">
        <v>5000</v>
      </c>
    </row>
    <row r="84" spans="1:6" x14ac:dyDescent="0.25">
      <c r="A84" s="1" t="s">
        <v>230</v>
      </c>
      <c r="B84" s="1" t="s">
        <v>231</v>
      </c>
      <c r="C84" s="1" t="s">
        <v>19</v>
      </c>
      <c r="D84" s="1" t="s">
        <v>232</v>
      </c>
      <c r="E84" s="1">
        <v>800</v>
      </c>
      <c r="F84" s="1">
        <v>1500</v>
      </c>
    </row>
    <row r="85" spans="1:6" x14ac:dyDescent="0.25">
      <c r="A85" s="1" t="s">
        <v>233</v>
      </c>
      <c r="B85" s="1" t="s">
        <v>234</v>
      </c>
      <c r="C85" s="1" t="s">
        <v>19</v>
      </c>
      <c r="D85" s="1" t="s">
        <v>232</v>
      </c>
      <c r="E85" s="1">
        <v>500</v>
      </c>
      <c r="F85" s="1">
        <v>1000</v>
      </c>
    </row>
    <row r="86" spans="1:6" x14ac:dyDescent="0.25">
      <c r="A86" s="1" t="s">
        <v>235</v>
      </c>
      <c r="B86" s="1" t="s">
        <v>236</v>
      </c>
      <c r="C86" s="1" t="s">
        <v>19</v>
      </c>
      <c r="D86" s="1" t="s">
        <v>237</v>
      </c>
      <c r="E86" s="1">
        <v>1200</v>
      </c>
      <c r="F86" s="1">
        <v>2000</v>
      </c>
    </row>
    <row r="87" spans="1:6" x14ac:dyDescent="0.25">
      <c r="A87" s="1" t="s">
        <v>238</v>
      </c>
      <c r="B87" s="1" t="s">
        <v>239</v>
      </c>
      <c r="C87" s="1" t="s">
        <v>12</v>
      </c>
      <c r="D87" s="1" t="s">
        <v>240</v>
      </c>
      <c r="E87" s="1">
        <v>3500</v>
      </c>
      <c r="F87" s="1">
        <v>6000</v>
      </c>
    </row>
    <row r="88" spans="1:6" x14ac:dyDescent="0.25">
      <c r="A88" s="1" t="s">
        <v>241</v>
      </c>
      <c r="B88" s="1" t="s">
        <v>242</v>
      </c>
      <c r="C88" s="1" t="s">
        <v>12</v>
      </c>
      <c r="D88" s="1" t="s">
        <v>240</v>
      </c>
      <c r="E88" s="1">
        <v>2500</v>
      </c>
      <c r="F88" s="1">
        <v>4000</v>
      </c>
    </row>
    <row r="89" spans="1:6" x14ac:dyDescent="0.25">
      <c r="A89" s="1" t="s">
        <v>243</v>
      </c>
      <c r="B89" s="1" t="s">
        <v>244</v>
      </c>
      <c r="C89" s="1" t="s">
        <v>12</v>
      </c>
      <c r="D89" s="1" t="s">
        <v>245</v>
      </c>
      <c r="E89" s="1">
        <v>4000</v>
      </c>
      <c r="F89" s="1">
        <v>6500</v>
      </c>
    </row>
    <row r="90" spans="1:6" x14ac:dyDescent="0.25">
      <c r="A90" s="1" t="s">
        <v>246</v>
      </c>
      <c r="B90" s="1" t="s">
        <v>247</v>
      </c>
      <c r="C90" s="1" t="s">
        <v>12</v>
      </c>
      <c r="D90" s="1" t="s">
        <v>245</v>
      </c>
      <c r="E90" s="1">
        <v>12000</v>
      </c>
      <c r="F90" s="1">
        <v>18000</v>
      </c>
    </row>
    <row r="91" spans="1:6" x14ac:dyDescent="0.25">
      <c r="A91" s="1" t="s">
        <v>248</v>
      </c>
      <c r="B91" s="1" t="s">
        <v>249</v>
      </c>
      <c r="C91" s="1" t="s">
        <v>12</v>
      </c>
      <c r="D91" s="1" t="s">
        <v>250</v>
      </c>
      <c r="E91" s="1">
        <v>5000</v>
      </c>
      <c r="F91" s="1">
        <v>8000</v>
      </c>
    </row>
    <row r="92" spans="1:6" x14ac:dyDescent="0.25">
      <c r="A92" s="1" t="s">
        <v>251</v>
      </c>
      <c r="B92" s="1" t="s">
        <v>252</v>
      </c>
      <c r="C92" s="1" t="s">
        <v>12</v>
      </c>
      <c r="D92" s="1" t="s">
        <v>253</v>
      </c>
      <c r="E92" s="1">
        <v>4000</v>
      </c>
      <c r="F92" s="1">
        <v>6500</v>
      </c>
    </row>
    <row r="93" spans="1:6" x14ac:dyDescent="0.25">
      <c r="A93" s="1" t="s">
        <v>254</v>
      </c>
      <c r="B93" s="1" t="s">
        <v>255</v>
      </c>
      <c r="C93" s="1" t="s">
        <v>15</v>
      </c>
      <c r="D93" s="1" t="s">
        <v>32</v>
      </c>
      <c r="E93" s="1">
        <v>3000</v>
      </c>
      <c r="F93" s="1">
        <v>4500</v>
      </c>
    </row>
    <row r="94" spans="1:6" x14ac:dyDescent="0.25">
      <c r="A94" s="1" t="s">
        <v>256</v>
      </c>
      <c r="B94" s="1" t="s">
        <v>257</v>
      </c>
      <c r="C94" s="1" t="s">
        <v>15</v>
      </c>
      <c r="D94" s="1" t="s">
        <v>115</v>
      </c>
      <c r="E94" s="1">
        <v>6000</v>
      </c>
      <c r="F94" s="1">
        <v>9000</v>
      </c>
    </row>
    <row r="95" spans="1:6" x14ac:dyDescent="0.25">
      <c r="A95" s="1" t="s">
        <v>258</v>
      </c>
      <c r="B95" s="1" t="s">
        <v>259</v>
      </c>
      <c r="C95" s="1" t="s">
        <v>15</v>
      </c>
      <c r="D95" s="1" t="s">
        <v>260</v>
      </c>
      <c r="E95" s="1">
        <v>3500</v>
      </c>
      <c r="F95" s="1">
        <v>5500</v>
      </c>
    </row>
    <row r="96" spans="1:6" x14ac:dyDescent="0.25">
      <c r="A96" s="1" t="s">
        <v>261</v>
      </c>
      <c r="B96" s="1" t="s">
        <v>262</v>
      </c>
      <c r="C96" s="1" t="s">
        <v>19</v>
      </c>
      <c r="D96" s="1" t="s">
        <v>263</v>
      </c>
      <c r="E96" s="1">
        <v>5000</v>
      </c>
      <c r="F96" s="1">
        <v>8000</v>
      </c>
    </row>
    <row r="97" spans="1:6" x14ac:dyDescent="0.25">
      <c r="A97" s="1" t="s">
        <v>264</v>
      </c>
      <c r="B97" s="1" t="s">
        <v>265</v>
      </c>
      <c r="C97" s="1" t="s">
        <v>19</v>
      </c>
      <c r="D97" s="1" t="s">
        <v>263</v>
      </c>
      <c r="E97" s="1">
        <v>6000</v>
      </c>
      <c r="F97" s="1">
        <v>9000</v>
      </c>
    </row>
    <row r="98" spans="1:6" x14ac:dyDescent="0.25">
      <c r="A98" s="1" t="s">
        <v>266</v>
      </c>
      <c r="B98" s="1" t="s">
        <v>267</v>
      </c>
      <c r="C98" s="1" t="s">
        <v>16</v>
      </c>
      <c r="D98" s="1" t="s">
        <v>39</v>
      </c>
      <c r="E98" s="1">
        <v>2500</v>
      </c>
      <c r="F98" s="1">
        <v>4000</v>
      </c>
    </row>
    <row r="99" spans="1:6" x14ac:dyDescent="0.25">
      <c r="A99" s="1" t="s">
        <v>268</v>
      </c>
      <c r="B99" s="1" t="s">
        <v>269</v>
      </c>
      <c r="C99" s="1" t="s">
        <v>11</v>
      </c>
      <c r="D99" s="1" t="s">
        <v>102</v>
      </c>
      <c r="E99" s="1">
        <v>2000</v>
      </c>
      <c r="F99" s="1">
        <v>3500</v>
      </c>
    </row>
    <row r="100" spans="1:6" x14ac:dyDescent="0.25">
      <c r="A100" s="1" t="s">
        <v>270</v>
      </c>
      <c r="B100" s="1" t="s">
        <v>271</v>
      </c>
      <c r="C100" s="1" t="s">
        <v>11</v>
      </c>
      <c r="D100" s="1" t="s">
        <v>272</v>
      </c>
      <c r="E100" s="1">
        <v>1500</v>
      </c>
      <c r="F100" s="1">
        <v>2500</v>
      </c>
    </row>
    <row r="101" spans="1:6" x14ac:dyDescent="0.25">
      <c r="A101" s="1" t="s">
        <v>273</v>
      </c>
      <c r="B101" s="1" t="s">
        <v>274</v>
      </c>
      <c r="C101" s="1" t="s">
        <v>19</v>
      </c>
      <c r="D101" s="1" t="s">
        <v>154</v>
      </c>
      <c r="E101" s="1">
        <v>3000</v>
      </c>
      <c r="F101" s="1">
        <v>5000</v>
      </c>
    </row>
  </sheetData>
  <sheetProtection sheet="1" objects="1" scenarios="1" sort="0" autoFilter="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CB4E3-6203-4CC1-A301-E225EDFD7CBD}">
  <dimension ref="A1:R63"/>
  <sheetViews>
    <sheetView topLeftCell="B1" zoomScale="70" zoomScaleNormal="70" workbookViewId="0">
      <selection activeCell="B1" sqref="B1:R1048576"/>
    </sheetView>
  </sheetViews>
  <sheetFormatPr baseColWidth="10" defaultRowHeight="15" x14ac:dyDescent="0.25"/>
  <cols>
    <col min="1" max="1" width="19.7109375" customWidth="1"/>
    <col min="2" max="2" width="18.28515625" customWidth="1"/>
    <col min="3" max="4" width="16.85546875" customWidth="1"/>
    <col min="5" max="5" width="16.42578125" customWidth="1"/>
    <col min="6" max="6" width="17.7109375" customWidth="1"/>
    <col min="7" max="7" width="17.140625" customWidth="1"/>
    <col min="8" max="8" width="16.28515625" customWidth="1"/>
    <col min="17" max="17" width="23.42578125" bestFit="1" customWidth="1"/>
    <col min="18" max="18" width="20.7109375" bestFit="1" customWidth="1"/>
  </cols>
  <sheetData>
    <row r="1" spans="1:18" ht="30" x14ac:dyDescent="0.25">
      <c r="A1" s="2" t="s">
        <v>275</v>
      </c>
      <c r="B1" s="2" t="s">
        <v>358</v>
      </c>
      <c r="C1" s="2" t="s">
        <v>20</v>
      </c>
      <c r="D1" s="2" t="s">
        <v>4</v>
      </c>
      <c r="E1" s="2" t="s">
        <v>0</v>
      </c>
      <c r="F1" s="2" t="s">
        <v>276</v>
      </c>
      <c r="G1" s="2" t="s">
        <v>1</v>
      </c>
      <c r="H1" s="2" t="s">
        <v>2</v>
      </c>
      <c r="I1" s="2" t="s">
        <v>340</v>
      </c>
      <c r="J1" s="2" t="s">
        <v>341</v>
      </c>
      <c r="K1" s="2" t="s">
        <v>22</v>
      </c>
      <c r="L1" s="2" t="s">
        <v>344</v>
      </c>
      <c r="M1" s="2" t="s">
        <v>345</v>
      </c>
      <c r="N1" s="2" t="s">
        <v>346</v>
      </c>
      <c r="O1" s="2" t="s">
        <v>347</v>
      </c>
    </row>
    <row r="2" spans="1:18" x14ac:dyDescent="0.25">
      <c r="A2" s="4" t="s">
        <v>277</v>
      </c>
      <c r="B2" s="3">
        <v>46174</v>
      </c>
      <c r="C2" s="4" t="s">
        <v>23</v>
      </c>
      <c r="D2" s="1">
        <v>2</v>
      </c>
      <c r="E2" s="1" t="s">
        <v>5</v>
      </c>
      <c r="F2" s="1" t="s">
        <v>278</v>
      </c>
      <c r="G2" s="1" t="s">
        <v>9</v>
      </c>
      <c r="H2" s="5" t="str">
        <f>IFERROR(_xlfn.XLOOKUP(C2,Productos!A:A,Productos!B:B,FALSE),"No encontrado")</f>
        <v>Coca Cola 1.5L</v>
      </c>
      <c r="I2" s="5" t="str">
        <f>_xlfn.XLOOKUP(C2,Productos!A:A,Productos!C:C,"No encontrado")</f>
        <v>Bebidas</v>
      </c>
      <c r="J2" s="5">
        <f>_xlfn.XLOOKUP(C2,Productos!A:A,Productos!F:F,"No encontrado")</f>
        <v>5000</v>
      </c>
      <c r="K2" s="5">
        <f>_xlfn.XLOOKUP(C2,Productos!A:A,Productos!E:E, "No encontrado")</f>
        <v>2800</v>
      </c>
      <c r="L2" s="5">
        <f>IFERROR(D2*J2, 0)</f>
        <v>10000</v>
      </c>
      <c r="M2" s="5">
        <f>IFERROR(D2*K2, 0)</f>
        <v>5600</v>
      </c>
      <c r="N2" s="5">
        <f>IFERROR(L2-M2, 0)</f>
        <v>4400</v>
      </c>
      <c r="O2" s="5">
        <f>IFERROR(ROUND(N2/L2, 2),0)</f>
        <v>0.44</v>
      </c>
      <c r="Q2" s="10" t="s">
        <v>348</v>
      </c>
      <c r="R2" t="s">
        <v>350</v>
      </c>
    </row>
    <row r="3" spans="1:18" x14ac:dyDescent="0.25">
      <c r="A3" s="4" t="s">
        <v>279</v>
      </c>
      <c r="B3" s="3">
        <v>46174</v>
      </c>
      <c r="C3" s="4" t="s">
        <v>52</v>
      </c>
      <c r="D3" s="1">
        <v>1</v>
      </c>
      <c r="E3" s="1" t="s">
        <v>6</v>
      </c>
      <c r="F3" s="1" t="s">
        <v>280</v>
      </c>
      <c r="G3" s="1" t="s">
        <v>7</v>
      </c>
      <c r="H3" s="5" t="str">
        <f>IFERROR(_xlfn.XLOOKUP(C3,Productos!A:A,Productos!B:B,FALSE),"No encontrado")</f>
        <v>Arroz 500g</v>
      </c>
      <c r="I3" s="5" t="str">
        <f>_xlfn.XLOOKUP(C3,Productos!A:A,Productos!C:C,"No encontrado")</f>
        <v>Alimentos</v>
      </c>
      <c r="J3" s="5">
        <f>_xlfn.XLOOKUP(C3,Productos!A:A,Productos!F:F,"No encontrado")</f>
        <v>2000</v>
      </c>
      <c r="K3" s="5">
        <f>_xlfn.XLOOKUP(C3,Productos!A:A,Productos!E:E, "No encontrado")</f>
        <v>1300</v>
      </c>
      <c r="L3" s="5">
        <f t="shared" ref="L3:L62" si="0">IFERROR(D3*J3, 0)</f>
        <v>2000</v>
      </c>
      <c r="M3" s="5">
        <f t="shared" ref="M3:M62" si="1">IFERROR(D3*K3, 0)</f>
        <v>1300</v>
      </c>
      <c r="N3" s="5">
        <f t="shared" ref="N3:N62" si="2">IFERROR(L3-M3, 0)</f>
        <v>700</v>
      </c>
      <c r="O3" s="5">
        <f t="shared" ref="O3:O62" si="3">IFERROR(ROUND(N3/L3, 2),0)</f>
        <v>0.35</v>
      </c>
      <c r="Q3" s="11" t="s">
        <v>6</v>
      </c>
      <c r="R3" s="12">
        <v>52000</v>
      </c>
    </row>
    <row r="4" spans="1:18" x14ac:dyDescent="0.25">
      <c r="A4" s="4" t="s">
        <v>281</v>
      </c>
      <c r="B4" s="3">
        <v>46174</v>
      </c>
      <c r="C4" s="4" t="s">
        <v>97</v>
      </c>
      <c r="D4" s="1">
        <v>3</v>
      </c>
      <c r="E4" s="1" t="s">
        <v>8</v>
      </c>
      <c r="F4" s="1" t="s">
        <v>282</v>
      </c>
      <c r="G4" s="1" t="s">
        <v>9</v>
      </c>
      <c r="H4" s="5" t="str">
        <f>IFERROR(_xlfn.XLOOKUP(C4,Productos!A:A,Productos!B:B,FALSE),"No encontrado")</f>
        <v>Café instantáneo</v>
      </c>
      <c r="I4" s="5" t="str">
        <f>_xlfn.XLOOKUP(C4,Productos!A:A,Productos!C:C,"No encontrado")</f>
        <v>Bebidas</v>
      </c>
      <c r="J4" s="5">
        <f>_xlfn.XLOOKUP(C4,Productos!A:A,Productos!F:F,"No encontrado")</f>
        <v>14000</v>
      </c>
      <c r="K4" s="5">
        <f>_xlfn.XLOOKUP(C4,Productos!A:A,Productos!E:E, "No encontrado")</f>
        <v>9000</v>
      </c>
      <c r="L4" s="5">
        <f t="shared" si="0"/>
        <v>42000</v>
      </c>
      <c r="M4" s="5">
        <f t="shared" si="1"/>
        <v>27000</v>
      </c>
      <c r="N4" s="5">
        <f t="shared" si="2"/>
        <v>15000</v>
      </c>
      <c r="O4" s="5">
        <f t="shared" si="3"/>
        <v>0.36</v>
      </c>
      <c r="Q4" s="11" t="s">
        <v>8</v>
      </c>
      <c r="R4" s="12">
        <v>72500</v>
      </c>
    </row>
    <row r="5" spans="1:18" x14ac:dyDescent="0.25">
      <c r="A5" s="4" t="s">
        <v>283</v>
      </c>
      <c r="B5" s="3">
        <v>46174</v>
      </c>
      <c r="C5" s="4" t="s">
        <v>129</v>
      </c>
      <c r="D5" s="1">
        <v>1</v>
      </c>
      <c r="E5" s="1" t="s">
        <v>5</v>
      </c>
      <c r="F5" s="1" t="s">
        <v>278</v>
      </c>
      <c r="G5" s="1" t="s">
        <v>7</v>
      </c>
      <c r="H5" s="5" t="str">
        <f>IFERROR(_xlfn.XLOOKUP(C5,Productos!A:A,Productos!B:B,FALSE),"No encontrado")</f>
        <v>Papel higiénico x4</v>
      </c>
      <c r="I5" s="5" t="str">
        <f>_xlfn.XLOOKUP(C5,Productos!A:A,Productos!C:C,"No encontrado")</f>
        <v>Aseo</v>
      </c>
      <c r="J5" s="5">
        <f>_xlfn.XLOOKUP(C5,Productos!A:A,Productos!F:F,"No encontrado")</f>
        <v>8000</v>
      </c>
      <c r="K5" s="5">
        <f>_xlfn.XLOOKUP(C5,Productos!A:A,Productos!E:E, "No encontrado")</f>
        <v>5000</v>
      </c>
      <c r="L5" s="5">
        <f t="shared" si="0"/>
        <v>8000</v>
      </c>
      <c r="M5" s="5">
        <f t="shared" si="1"/>
        <v>5000</v>
      </c>
      <c r="N5" s="5">
        <f t="shared" si="2"/>
        <v>3000</v>
      </c>
      <c r="O5" s="5">
        <f t="shared" si="3"/>
        <v>0.38</v>
      </c>
      <c r="Q5" s="11" t="s">
        <v>5</v>
      </c>
      <c r="R5" s="12">
        <v>36000</v>
      </c>
    </row>
    <row r="6" spans="1:18" x14ac:dyDescent="0.25">
      <c r="A6" s="4" t="s">
        <v>284</v>
      </c>
      <c r="B6" s="3">
        <v>46174</v>
      </c>
      <c r="C6" s="4" t="s">
        <v>158</v>
      </c>
      <c r="D6" s="1">
        <v>4</v>
      </c>
      <c r="E6" s="1" t="s">
        <v>6</v>
      </c>
      <c r="F6" s="1" t="s">
        <v>280</v>
      </c>
      <c r="G6" s="1" t="s">
        <v>9</v>
      </c>
      <c r="H6" s="5" t="str">
        <f>IFERROR(_xlfn.XLOOKUP(C6,Productos!A:A,Productos!B:B,FALSE),"No encontrado")</f>
        <v>Papas Margarita</v>
      </c>
      <c r="I6" s="5" t="str">
        <f>_xlfn.XLOOKUP(C6,Productos!A:A,Productos!C:C,"No encontrado")</f>
        <v>Snacks</v>
      </c>
      <c r="J6" s="5">
        <f>_xlfn.XLOOKUP(C6,Productos!A:A,Productos!F:F,"No encontrado")</f>
        <v>3000</v>
      </c>
      <c r="K6" s="5">
        <f>_xlfn.XLOOKUP(C6,Productos!A:A,Productos!E:E, "No encontrado")</f>
        <v>1800</v>
      </c>
      <c r="L6" s="5">
        <f t="shared" si="0"/>
        <v>12000</v>
      </c>
      <c r="M6" s="5">
        <f t="shared" si="1"/>
        <v>7200</v>
      </c>
      <c r="N6" s="5">
        <f t="shared" si="2"/>
        <v>4800</v>
      </c>
      <c r="O6" s="5">
        <f t="shared" si="3"/>
        <v>0.4</v>
      </c>
      <c r="Q6" s="11" t="s">
        <v>349</v>
      </c>
      <c r="R6" s="12">
        <v>160500</v>
      </c>
    </row>
    <row r="7" spans="1:18" x14ac:dyDescent="0.25">
      <c r="A7" s="4" t="s">
        <v>285</v>
      </c>
      <c r="B7" s="3">
        <v>46175</v>
      </c>
      <c r="C7" s="4" t="s">
        <v>40</v>
      </c>
      <c r="D7" s="1">
        <v>2</v>
      </c>
      <c r="E7" s="1" t="s">
        <v>8</v>
      </c>
      <c r="F7" s="1" t="s">
        <v>282</v>
      </c>
      <c r="G7" s="1" t="s">
        <v>7</v>
      </c>
      <c r="H7" s="5" t="str">
        <f>IFERROR(_xlfn.XLOOKUP(C7,Productos!A:A,Productos!B:B,FALSE),"No encontrado")</f>
        <v>Cerveza Costeña</v>
      </c>
      <c r="I7" s="5" t="str">
        <f>_xlfn.XLOOKUP(C7,Productos!A:A,Productos!C:C,"No encontrado")</f>
        <v>Licores</v>
      </c>
      <c r="J7" s="5">
        <f>_xlfn.XLOOKUP(C7,Productos!A:A,Productos!F:F,"No encontrado")</f>
        <v>2800</v>
      </c>
      <c r="K7" s="5">
        <f>_xlfn.XLOOKUP(C7,Productos!A:A,Productos!E:E, "No encontrado")</f>
        <v>1700</v>
      </c>
      <c r="L7" s="5">
        <f t="shared" si="0"/>
        <v>5600</v>
      </c>
      <c r="M7" s="5">
        <f t="shared" si="1"/>
        <v>3400</v>
      </c>
      <c r="N7" s="5">
        <f t="shared" si="2"/>
        <v>2200</v>
      </c>
      <c r="O7" s="5">
        <f t="shared" si="3"/>
        <v>0.39</v>
      </c>
      <c r="Q7" s="10" t="s">
        <v>348</v>
      </c>
      <c r="R7" t="s">
        <v>351</v>
      </c>
    </row>
    <row r="8" spans="1:18" x14ac:dyDescent="0.25">
      <c r="A8" s="4" t="s">
        <v>286</v>
      </c>
      <c r="B8" s="3">
        <v>46175</v>
      </c>
      <c r="C8" s="4" t="s">
        <v>116</v>
      </c>
      <c r="D8" s="1">
        <v>1</v>
      </c>
      <c r="E8" s="1" t="s">
        <v>5</v>
      </c>
      <c r="F8" s="1" t="s">
        <v>278</v>
      </c>
      <c r="G8" s="1" t="s">
        <v>9</v>
      </c>
      <c r="H8" s="5" t="str">
        <f>IFERROR(_xlfn.XLOOKUP(C8,Productos!A:A,Productos!B:B,FALSE),"No encontrado")</f>
        <v>Pollo</v>
      </c>
      <c r="I8" s="5" t="str">
        <f>_xlfn.XLOOKUP(C8,Productos!A:A,Productos!C:C,"No encontrado")</f>
        <v>Proteína</v>
      </c>
      <c r="J8" s="5">
        <f>_xlfn.XLOOKUP(C8,Productos!A:A,Productos!F:F,"No encontrado")</f>
        <v>12000</v>
      </c>
      <c r="K8" s="5">
        <f>_xlfn.XLOOKUP(C8,Productos!A:A,Productos!E:E, "No encontrado")</f>
        <v>8000</v>
      </c>
      <c r="L8" s="5">
        <f t="shared" si="0"/>
        <v>12000</v>
      </c>
      <c r="M8" s="5">
        <f t="shared" si="1"/>
        <v>8000</v>
      </c>
      <c r="N8" s="5">
        <f t="shared" si="2"/>
        <v>4000</v>
      </c>
      <c r="O8" s="5">
        <f t="shared" si="3"/>
        <v>0.33</v>
      </c>
      <c r="Q8" s="11" t="s">
        <v>15</v>
      </c>
      <c r="R8" s="12">
        <v>36400</v>
      </c>
    </row>
    <row r="9" spans="1:18" x14ac:dyDescent="0.25">
      <c r="A9" s="4" t="s">
        <v>287</v>
      </c>
      <c r="B9" s="3">
        <v>46175</v>
      </c>
      <c r="C9" s="4" t="s">
        <v>193</v>
      </c>
      <c r="D9" s="1">
        <v>2</v>
      </c>
      <c r="E9" s="1" t="s">
        <v>6</v>
      </c>
      <c r="F9" s="1" t="s">
        <v>280</v>
      </c>
      <c r="G9" s="1" t="s">
        <v>7</v>
      </c>
      <c r="H9" s="5" t="str">
        <f>IFERROR(_xlfn.XLOOKUP(C9,Productos!A:A,Productos!B:B,FALSE),"No encontrado")</f>
        <v>Mostaza</v>
      </c>
      <c r="I9" s="5" t="str">
        <f>_xlfn.XLOOKUP(C9,Productos!A:A,Productos!C:C,"No encontrado")</f>
        <v>Alimentos</v>
      </c>
      <c r="J9" s="5">
        <f>_xlfn.XLOOKUP(C9,Productos!A:A,Productos!F:F,"No encontrado")</f>
        <v>5000</v>
      </c>
      <c r="K9" s="5">
        <f>_xlfn.XLOOKUP(C9,Productos!A:A,Productos!E:E, "No encontrado")</f>
        <v>3000</v>
      </c>
      <c r="L9" s="5">
        <f t="shared" si="0"/>
        <v>10000</v>
      </c>
      <c r="M9" s="5">
        <f t="shared" si="1"/>
        <v>6000</v>
      </c>
      <c r="N9" s="5">
        <f t="shared" si="2"/>
        <v>4000</v>
      </c>
      <c r="O9" s="5">
        <f t="shared" si="3"/>
        <v>0.4</v>
      </c>
      <c r="Q9" s="11" t="s">
        <v>12</v>
      </c>
      <c r="R9" s="12">
        <v>59000</v>
      </c>
    </row>
    <row r="10" spans="1:18" x14ac:dyDescent="0.25">
      <c r="A10" s="4" t="s">
        <v>288</v>
      </c>
      <c r="B10" s="3">
        <v>46175</v>
      </c>
      <c r="C10" s="4" t="s">
        <v>226</v>
      </c>
      <c r="D10" s="1">
        <v>5</v>
      </c>
      <c r="E10" s="1" t="s">
        <v>8</v>
      </c>
      <c r="F10" s="1" t="s">
        <v>282</v>
      </c>
      <c r="G10" s="1" t="s">
        <v>9</v>
      </c>
      <c r="H10" s="5" t="str">
        <f>IFERROR(_xlfn.XLOOKUP(C10,Productos!A:A,Productos!B:B,FALSE),"No encontrado")</f>
        <v>Galletas festival</v>
      </c>
      <c r="I10" s="5" t="str">
        <f>_xlfn.XLOOKUP(C10,Productos!A:A,Productos!C:C,"No encontrado")</f>
        <v>Snacks</v>
      </c>
      <c r="J10" s="5">
        <f>_xlfn.XLOOKUP(C10,Productos!A:A,Productos!F:F,"No encontrado")</f>
        <v>3200</v>
      </c>
      <c r="K10" s="5">
        <f>_xlfn.XLOOKUP(C10,Productos!A:A,Productos!E:E, "No encontrado")</f>
        <v>2000</v>
      </c>
      <c r="L10" s="5">
        <f t="shared" si="0"/>
        <v>16000</v>
      </c>
      <c r="M10" s="5">
        <f t="shared" si="1"/>
        <v>10000</v>
      </c>
      <c r="N10" s="5">
        <f t="shared" si="2"/>
        <v>6000</v>
      </c>
      <c r="O10" s="5">
        <f t="shared" si="3"/>
        <v>0.38</v>
      </c>
      <c r="Q10" s="11" t="s">
        <v>11</v>
      </c>
      <c r="R10" s="12">
        <v>55600</v>
      </c>
    </row>
    <row r="11" spans="1:18" x14ac:dyDescent="0.25">
      <c r="A11" s="4" t="s">
        <v>289</v>
      </c>
      <c r="B11" s="3">
        <v>46175</v>
      </c>
      <c r="C11" s="4" t="s">
        <v>270</v>
      </c>
      <c r="D11" s="1">
        <v>2</v>
      </c>
      <c r="E11" s="1" t="s">
        <v>5</v>
      </c>
      <c r="F11" s="1" t="s">
        <v>278</v>
      </c>
      <c r="G11" s="1" t="s">
        <v>7</v>
      </c>
      <c r="H11" s="5" t="str">
        <f>IFERROR(_xlfn.XLOOKUP(C11,Productos!A:A,Productos!B:B,FALSE),"No encontrado")</f>
        <v>Agua saborizada</v>
      </c>
      <c r="I11" s="5" t="str">
        <f>_xlfn.XLOOKUP(C11,Productos!A:A,Productos!C:C,"No encontrado")</f>
        <v>Bebidas</v>
      </c>
      <c r="J11" s="5">
        <f>_xlfn.XLOOKUP(C11,Productos!A:A,Productos!F:F,"No encontrado")</f>
        <v>2500</v>
      </c>
      <c r="K11" s="5">
        <f>_xlfn.XLOOKUP(C11,Productos!A:A,Productos!E:E, "No encontrado")</f>
        <v>1500</v>
      </c>
      <c r="L11" s="5">
        <f t="shared" si="0"/>
        <v>5000</v>
      </c>
      <c r="M11" s="5">
        <f t="shared" si="1"/>
        <v>3000</v>
      </c>
      <c r="N11" s="5">
        <f t="shared" si="2"/>
        <v>2000</v>
      </c>
      <c r="O11" s="5">
        <f t="shared" si="3"/>
        <v>0.4</v>
      </c>
      <c r="Q11" s="11" t="s">
        <v>16</v>
      </c>
      <c r="R11" s="12">
        <v>25400</v>
      </c>
    </row>
    <row r="12" spans="1:18" x14ac:dyDescent="0.25">
      <c r="A12" s="4" t="s">
        <v>290</v>
      </c>
      <c r="B12" s="3">
        <v>46176</v>
      </c>
      <c r="C12" s="4" t="s">
        <v>67</v>
      </c>
      <c r="D12" s="1">
        <v>1</v>
      </c>
      <c r="E12" s="1" t="s">
        <v>6</v>
      </c>
      <c r="F12" s="1" t="s">
        <v>280</v>
      </c>
      <c r="G12" s="1" t="s">
        <v>9</v>
      </c>
      <c r="H12" s="5" t="str">
        <f>IFERROR(_xlfn.XLOOKUP(C12,Productos!A:A,Productos!B:B,FALSE),"No encontrado")</f>
        <v>Aceite 1L</v>
      </c>
      <c r="I12" s="5" t="str">
        <f>_xlfn.XLOOKUP(C12,Productos!A:A,Productos!C:C,"No encontrado")</f>
        <v>Alimentos</v>
      </c>
      <c r="J12" s="5">
        <f>_xlfn.XLOOKUP(C12,Productos!A:A,Productos!F:F,"No encontrado")</f>
        <v>12000</v>
      </c>
      <c r="K12" s="5">
        <f>_xlfn.XLOOKUP(C12,Productos!A:A,Productos!E:E, "No encontrado")</f>
        <v>8500</v>
      </c>
      <c r="L12" s="5">
        <f t="shared" si="0"/>
        <v>12000</v>
      </c>
      <c r="M12" s="5">
        <f t="shared" si="1"/>
        <v>8500</v>
      </c>
      <c r="N12" s="5">
        <f t="shared" si="2"/>
        <v>3500</v>
      </c>
      <c r="O12" s="5">
        <f t="shared" si="3"/>
        <v>0.28999999999999998</v>
      </c>
      <c r="Q12" s="11" t="s">
        <v>13</v>
      </c>
      <c r="R12" s="12">
        <v>18200</v>
      </c>
    </row>
    <row r="13" spans="1:18" x14ac:dyDescent="0.25">
      <c r="A13" s="4" t="s">
        <v>291</v>
      </c>
      <c r="B13" s="3">
        <v>46176</v>
      </c>
      <c r="C13" s="4" t="s">
        <v>142</v>
      </c>
      <c r="D13" s="1">
        <v>3</v>
      </c>
      <c r="E13" s="1" t="s">
        <v>8</v>
      </c>
      <c r="F13" s="1" t="s">
        <v>282</v>
      </c>
      <c r="G13" s="1" t="s">
        <v>7</v>
      </c>
      <c r="H13" s="5" t="str">
        <f>IFERROR(_xlfn.XLOOKUP(C13,Productos!A:A,Productos!B:B,FALSE),"No encontrado")</f>
        <v>Desinfectante</v>
      </c>
      <c r="I13" s="5" t="str">
        <f>_xlfn.XLOOKUP(C13,Productos!A:A,Productos!C:C,"No encontrado")</f>
        <v>Aseo</v>
      </c>
      <c r="J13" s="5">
        <f>_xlfn.XLOOKUP(C13,Productos!A:A,Productos!F:F,"No encontrado")</f>
        <v>6500</v>
      </c>
      <c r="K13" s="5">
        <f>_xlfn.XLOOKUP(C13,Productos!A:A,Productos!E:E, "No encontrado")</f>
        <v>4000</v>
      </c>
      <c r="L13" s="5">
        <f t="shared" si="0"/>
        <v>19500</v>
      </c>
      <c r="M13" s="5">
        <f t="shared" si="1"/>
        <v>12000</v>
      </c>
      <c r="N13" s="5">
        <f t="shared" si="2"/>
        <v>7500</v>
      </c>
      <c r="O13" s="5">
        <f t="shared" si="3"/>
        <v>0.38</v>
      </c>
      <c r="Q13" s="11" t="s">
        <v>352</v>
      </c>
      <c r="R13" s="12">
        <v>0</v>
      </c>
    </row>
    <row r="14" spans="1:18" x14ac:dyDescent="0.25">
      <c r="A14" s="4" t="s">
        <v>292</v>
      </c>
      <c r="B14" s="3">
        <v>46176</v>
      </c>
      <c r="C14" s="4" t="s">
        <v>177</v>
      </c>
      <c r="D14" s="1">
        <v>2</v>
      </c>
      <c r="E14" s="1" t="s">
        <v>5</v>
      </c>
      <c r="F14" s="1" t="s">
        <v>278</v>
      </c>
      <c r="G14" s="1" t="s">
        <v>9</v>
      </c>
      <c r="H14" s="5" t="str">
        <f>IFERROR(_xlfn.XLOOKUP(C14,Productos!A:A,Productos!B:B,FALSE),"No encontrado")</f>
        <v>Jugo Del Valle</v>
      </c>
      <c r="I14" s="5" t="str">
        <f>_xlfn.XLOOKUP(C14,Productos!A:A,Productos!C:C,"No encontrado")</f>
        <v>Bebidas</v>
      </c>
      <c r="J14" s="5">
        <f>_xlfn.XLOOKUP(C14,Productos!A:A,Productos!F:F,"No encontrado")</f>
        <v>3500</v>
      </c>
      <c r="K14" s="5">
        <f>_xlfn.XLOOKUP(C14,Productos!A:A,Productos!E:E, "No encontrado")</f>
        <v>2000</v>
      </c>
      <c r="L14" s="5">
        <f t="shared" si="0"/>
        <v>7000</v>
      </c>
      <c r="M14" s="5">
        <f t="shared" si="1"/>
        <v>4000</v>
      </c>
      <c r="N14" s="5">
        <f t="shared" si="2"/>
        <v>3000</v>
      </c>
      <c r="O14" s="5">
        <f t="shared" si="3"/>
        <v>0.43</v>
      </c>
      <c r="Q14" s="11" t="s">
        <v>57</v>
      </c>
      <c r="R14" s="12">
        <v>3800</v>
      </c>
    </row>
    <row r="15" spans="1:18" x14ac:dyDescent="0.25">
      <c r="A15" s="4" t="s">
        <v>293</v>
      </c>
      <c r="B15" s="3">
        <v>46176</v>
      </c>
      <c r="C15" s="4" t="s">
        <v>213</v>
      </c>
      <c r="D15" s="1">
        <v>1</v>
      </c>
      <c r="E15" s="1" t="s">
        <v>6</v>
      </c>
      <c r="F15" s="1" t="s">
        <v>280</v>
      </c>
      <c r="G15" s="1" t="s">
        <v>7</v>
      </c>
      <c r="H15" s="5" t="str">
        <f>IFERROR(_xlfn.XLOOKUP(C15,Productos!A:A,Productos!B:B,FALSE),"No encontrado")</f>
        <v>Leche en polvo</v>
      </c>
      <c r="I15" s="5" t="str">
        <f>_xlfn.XLOOKUP(C15,Productos!A:A,Productos!C:C,"No encontrado")</f>
        <v>Lácteos</v>
      </c>
      <c r="J15" s="5">
        <f>_xlfn.XLOOKUP(C15,Productos!A:A,Productos!F:F,"No encontrado")</f>
        <v>14000</v>
      </c>
      <c r="K15" s="5">
        <f>_xlfn.XLOOKUP(C15,Productos!A:A,Productos!E:E, "No encontrado")</f>
        <v>9000</v>
      </c>
      <c r="L15" s="5">
        <f t="shared" si="0"/>
        <v>14000</v>
      </c>
      <c r="M15" s="5">
        <f t="shared" si="1"/>
        <v>9000</v>
      </c>
      <c r="N15" s="5">
        <f t="shared" si="2"/>
        <v>5000</v>
      </c>
      <c r="O15" s="5">
        <f t="shared" si="3"/>
        <v>0.36</v>
      </c>
      <c r="Q15" s="11" t="s">
        <v>114</v>
      </c>
      <c r="R15" s="12">
        <v>9000</v>
      </c>
    </row>
    <row r="16" spans="1:18" x14ac:dyDescent="0.25">
      <c r="A16" s="4" t="s">
        <v>294</v>
      </c>
      <c r="B16" s="3">
        <v>46176</v>
      </c>
      <c r="C16" s="4" t="s">
        <v>243</v>
      </c>
      <c r="D16" s="1">
        <v>4</v>
      </c>
      <c r="E16" s="1" t="s">
        <v>8</v>
      </c>
      <c r="F16" s="1" t="s">
        <v>282</v>
      </c>
      <c r="G16" s="1" t="s">
        <v>9</v>
      </c>
      <c r="H16" s="5" t="str">
        <f>IFERROR(_xlfn.XLOOKUP(C16,Productos!A:A,Productos!B:B,FALSE),"No encontrado")</f>
        <v>Toallas húmedas</v>
      </c>
      <c r="I16" s="5" t="str">
        <f>_xlfn.XLOOKUP(C16,Productos!A:A,Productos!C:C,"No encontrado")</f>
        <v>Aseo</v>
      </c>
      <c r="J16" s="5">
        <f>_xlfn.XLOOKUP(C16,Productos!A:A,Productos!F:F,"No encontrado")</f>
        <v>6500</v>
      </c>
      <c r="K16" s="5">
        <f>_xlfn.XLOOKUP(C16,Productos!A:A,Productos!E:E, "No encontrado")</f>
        <v>4000</v>
      </c>
      <c r="L16" s="5">
        <f t="shared" si="0"/>
        <v>26000</v>
      </c>
      <c r="M16" s="5">
        <f t="shared" si="1"/>
        <v>16000</v>
      </c>
      <c r="N16" s="5">
        <f t="shared" si="2"/>
        <v>10000</v>
      </c>
      <c r="O16" s="5">
        <f t="shared" si="3"/>
        <v>0.38</v>
      </c>
      <c r="Q16" s="11" t="s">
        <v>19</v>
      </c>
      <c r="R16" s="12">
        <v>22900</v>
      </c>
    </row>
    <row r="17" spans="1:18" x14ac:dyDescent="0.25">
      <c r="A17" s="4" t="s">
        <v>295</v>
      </c>
      <c r="B17" s="3">
        <v>46177</v>
      </c>
      <c r="C17" s="4" t="s">
        <v>28</v>
      </c>
      <c r="D17" s="1">
        <v>2</v>
      </c>
      <c r="E17" s="1" t="s">
        <v>5</v>
      </c>
      <c r="F17" s="1" t="s">
        <v>278</v>
      </c>
      <c r="G17" s="1" t="s">
        <v>7</v>
      </c>
      <c r="H17" s="5" t="str">
        <f>IFERROR(_xlfn.XLOOKUP(C17,Productos!A:A,Productos!B:B,FALSE),"No encontrado")</f>
        <v>Sprite 1.5L</v>
      </c>
      <c r="I17" s="5" t="str">
        <f>_xlfn.XLOOKUP(C17,Productos!A:A,Productos!C:C,"No encontrado")</f>
        <v>Bebidas</v>
      </c>
      <c r="J17" s="5">
        <f>_xlfn.XLOOKUP(C17,Productos!A:A,Productos!F:F,"No encontrado")</f>
        <v>4800</v>
      </c>
      <c r="K17" s="5">
        <f>_xlfn.XLOOKUP(C17,Productos!A:A,Productos!E:E, "No encontrado")</f>
        <v>2600</v>
      </c>
      <c r="L17" s="5">
        <f t="shared" si="0"/>
        <v>9600</v>
      </c>
      <c r="M17" s="5">
        <f t="shared" si="1"/>
        <v>5200</v>
      </c>
      <c r="N17" s="5">
        <f t="shared" si="2"/>
        <v>4400</v>
      </c>
      <c r="O17" s="5">
        <f t="shared" si="3"/>
        <v>0.46</v>
      </c>
      <c r="Q17" s="11" t="s">
        <v>349</v>
      </c>
      <c r="R17" s="12">
        <v>230300</v>
      </c>
    </row>
    <row r="18" spans="1:18" x14ac:dyDescent="0.25">
      <c r="A18" s="4" t="s">
        <v>296</v>
      </c>
      <c r="B18" s="3">
        <v>46177</v>
      </c>
      <c r="C18" s="4" t="s">
        <v>59</v>
      </c>
      <c r="D18" s="1">
        <v>1</v>
      </c>
      <c r="E18" s="1" t="s">
        <v>6</v>
      </c>
      <c r="F18" s="1" t="s">
        <v>280</v>
      </c>
      <c r="G18" s="1" t="s">
        <v>9</v>
      </c>
      <c r="H18" s="5" t="str">
        <f>IFERROR(_xlfn.XLOOKUP(C18,Productos!A:A,Productos!B:B,FALSE),"No encontrado")</f>
        <v>Garbanzo</v>
      </c>
      <c r="I18" s="5" t="str">
        <f>_xlfn.XLOOKUP(C18,Productos!A:A,Productos!C:C,"No encontrado")</f>
        <v>Alimentos</v>
      </c>
      <c r="J18" s="5">
        <f>_xlfn.XLOOKUP(C18,Productos!A:A,Productos!F:F,"No encontrado")</f>
        <v>3600</v>
      </c>
      <c r="K18" s="5">
        <f>_xlfn.XLOOKUP(C18,Productos!A:A,Productos!E:E, "No encontrado")</f>
        <v>2600</v>
      </c>
      <c r="L18" s="5">
        <f t="shared" si="0"/>
        <v>3600</v>
      </c>
      <c r="M18" s="5">
        <f t="shared" si="1"/>
        <v>2600</v>
      </c>
      <c r="N18" s="5">
        <f t="shared" si="2"/>
        <v>1000</v>
      </c>
      <c r="O18" s="5">
        <f t="shared" si="3"/>
        <v>0.28000000000000003</v>
      </c>
      <c r="Q18" s="10" t="s">
        <v>348</v>
      </c>
      <c r="R18" t="s">
        <v>350</v>
      </c>
    </row>
    <row r="19" spans="1:18" x14ac:dyDescent="0.25">
      <c r="A19" s="4" t="s">
        <v>297</v>
      </c>
      <c r="B19" s="3">
        <v>46177</v>
      </c>
      <c r="C19" s="4" t="s">
        <v>110</v>
      </c>
      <c r="D19" s="1">
        <v>3</v>
      </c>
      <c r="E19" s="1" t="s">
        <v>8</v>
      </c>
      <c r="F19" s="1" t="s">
        <v>282</v>
      </c>
      <c r="G19" s="1" t="s">
        <v>7</v>
      </c>
      <c r="H19" s="5" t="str">
        <f>IFERROR(_xlfn.XLOOKUP(C19,Productos!A:A,Productos!B:B,FALSE),"No encontrado")</f>
        <v>Mantequilla</v>
      </c>
      <c r="I19" s="5" t="str">
        <f>_xlfn.XLOOKUP(C19,Productos!A:A,Productos!C:C,"No encontrado")</f>
        <v>Lácteos</v>
      </c>
      <c r="J19" s="5">
        <f>_xlfn.XLOOKUP(C19,Productos!A:A,Productos!F:F,"No encontrado")</f>
        <v>5000</v>
      </c>
      <c r="K19" s="5">
        <f>_xlfn.XLOOKUP(C19,Productos!A:A,Productos!E:E, "No encontrado")</f>
        <v>3500</v>
      </c>
      <c r="L19" s="5">
        <f t="shared" si="0"/>
        <v>15000</v>
      </c>
      <c r="M19" s="5">
        <f t="shared" si="1"/>
        <v>10500</v>
      </c>
      <c r="N19" s="5">
        <f t="shared" si="2"/>
        <v>4500</v>
      </c>
      <c r="O19" s="5">
        <f t="shared" si="3"/>
        <v>0.3</v>
      </c>
      <c r="Q19" s="11" t="s">
        <v>136</v>
      </c>
      <c r="R19" s="12">
        <v>18000</v>
      </c>
    </row>
    <row r="20" spans="1:18" x14ac:dyDescent="0.25">
      <c r="A20" s="4" t="s">
        <v>298</v>
      </c>
      <c r="B20" s="3">
        <v>46177</v>
      </c>
      <c r="C20" s="4" t="s">
        <v>150</v>
      </c>
      <c r="D20" s="1">
        <v>2</v>
      </c>
      <c r="E20" s="1" t="s">
        <v>5</v>
      </c>
      <c r="F20" s="1" t="s">
        <v>278</v>
      </c>
      <c r="G20" s="1" t="s">
        <v>9</v>
      </c>
      <c r="H20" s="5" t="str">
        <f>IFERROR(_xlfn.XLOOKUP(C20,Productos!A:A,Productos!B:B,FALSE),"No encontrado")</f>
        <v>Oreo</v>
      </c>
      <c r="I20" s="5" t="str">
        <f>_xlfn.XLOOKUP(C20,Productos!A:A,Productos!C:C,"No encontrado")</f>
        <v>Snacks</v>
      </c>
      <c r="J20" s="5">
        <f>_xlfn.XLOOKUP(C20,Productos!A:A,Productos!F:F,"No encontrado")</f>
        <v>3000</v>
      </c>
      <c r="K20" s="5">
        <f>_xlfn.XLOOKUP(C20,Productos!A:A,Productos!E:E, "No encontrado")</f>
        <v>1800</v>
      </c>
      <c r="L20" s="5">
        <f t="shared" si="0"/>
        <v>6000</v>
      </c>
      <c r="M20" s="5">
        <f t="shared" si="1"/>
        <v>3600</v>
      </c>
      <c r="N20" s="5">
        <f t="shared" si="2"/>
        <v>2400</v>
      </c>
      <c r="O20" s="5">
        <f t="shared" si="3"/>
        <v>0.4</v>
      </c>
      <c r="Q20" s="11" t="s">
        <v>98</v>
      </c>
      <c r="R20" s="12">
        <v>42000</v>
      </c>
    </row>
    <row r="21" spans="1:18" x14ac:dyDescent="0.25">
      <c r="A21" s="4" t="s">
        <v>299</v>
      </c>
      <c r="B21" s="3">
        <v>46177</v>
      </c>
      <c r="C21" s="4" t="s">
        <v>201</v>
      </c>
      <c r="D21" s="1">
        <v>1</v>
      </c>
      <c r="E21" s="1" t="s">
        <v>6</v>
      </c>
      <c r="F21" s="1" t="s">
        <v>280</v>
      </c>
      <c r="G21" s="1" t="s">
        <v>7</v>
      </c>
      <c r="H21" s="5" t="str">
        <f>IFERROR(_xlfn.XLOOKUP(C21,Productos!A:A,Productos!B:B,FALSE),"No encontrado")</f>
        <v>Arvejas</v>
      </c>
      <c r="I21" s="5" t="str">
        <f>_xlfn.XLOOKUP(C21,Productos!A:A,Productos!C:C,"No encontrado")</f>
        <v>Alimentos</v>
      </c>
      <c r="J21" s="5">
        <f>_xlfn.XLOOKUP(C21,Productos!A:A,Productos!F:F,"No encontrado")</f>
        <v>3200</v>
      </c>
      <c r="K21" s="5">
        <f>_xlfn.XLOOKUP(C21,Productos!A:A,Productos!E:E, "No encontrado")</f>
        <v>2000</v>
      </c>
      <c r="L21" s="5">
        <f t="shared" si="0"/>
        <v>3200</v>
      </c>
      <c r="M21" s="5">
        <f t="shared" si="1"/>
        <v>2000</v>
      </c>
      <c r="N21" s="5">
        <f t="shared" si="2"/>
        <v>1200</v>
      </c>
      <c r="O21" s="5">
        <f t="shared" si="3"/>
        <v>0.38</v>
      </c>
      <c r="Q21" s="11" t="s">
        <v>143</v>
      </c>
      <c r="R21" s="12">
        <v>19500</v>
      </c>
    </row>
    <row r="22" spans="1:18" x14ac:dyDescent="0.25">
      <c r="A22" s="4" t="s">
        <v>300</v>
      </c>
      <c r="B22" s="3">
        <v>46178</v>
      </c>
      <c r="C22" s="4" t="s">
        <v>47</v>
      </c>
      <c r="D22" s="1">
        <v>2</v>
      </c>
      <c r="E22" s="1" t="s">
        <v>8</v>
      </c>
      <c r="F22" s="1" t="s">
        <v>282</v>
      </c>
      <c r="G22" s="1" t="s">
        <v>9</v>
      </c>
      <c r="H22" s="5" t="str">
        <f>IFERROR(_xlfn.XLOOKUP(C22,Productos!A:A,Productos!B:B,FALSE),"No encontrado")</f>
        <v>Ron</v>
      </c>
      <c r="I22" s="5" t="str">
        <f>_xlfn.XLOOKUP(C22,Productos!A:A,Productos!C:C,"No encontrado")</f>
        <v>Licores</v>
      </c>
      <c r="J22" s="5">
        <f>_xlfn.XLOOKUP(C22,Productos!A:A,Productos!F:F,"No encontrado")</f>
        <v>14000</v>
      </c>
      <c r="K22" s="5">
        <f>_xlfn.XLOOKUP(C22,Productos!A:A,Productos!E:E, "No encontrado")</f>
        <v>9000</v>
      </c>
      <c r="L22" s="5">
        <f t="shared" si="0"/>
        <v>28000</v>
      </c>
      <c r="M22" s="5">
        <f t="shared" si="1"/>
        <v>18000</v>
      </c>
      <c r="N22" s="5">
        <f t="shared" si="2"/>
        <v>10000</v>
      </c>
      <c r="O22" s="5">
        <f t="shared" si="3"/>
        <v>0.36</v>
      </c>
      <c r="Q22" s="11" t="s">
        <v>227</v>
      </c>
      <c r="R22" s="12">
        <v>16000</v>
      </c>
    </row>
    <row r="23" spans="1:18" x14ac:dyDescent="0.25">
      <c r="A23" s="4" t="s">
        <v>301</v>
      </c>
      <c r="B23" s="3">
        <v>46178</v>
      </c>
      <c r="C23" s="4" t="s">
        <v>105</v>
      </c>
      <c r="D23" s="1">
        <v>1</v>
      </c>
      <c r="E23" s="1" t="s">
        <v>5</v>
      </c>
      <c r="F23" s="1" t="s">
        <v>278</v>
      </c>
      <c r="G23" s="1" t="s">
        <v>7</v>
      </c>
      <c r="H23" s="5" t="str">
        <f>IFERROR(_xlfn.XLOOKUP(C23,Productos!A:A,Productos!B:B,FALSE),"No encontrado")</f>
        <v>Leche deslactosada</v>
      </c>
      <c r="I23" s="5" t="str">
        <f>_xlfn.XLOOKUP(C23,Productos!A:A,Productos!C:C,"No encontrado")</f>
        <v>Lácteos</v>
      </c>
      <c r="J23" s="5">
        <f>_xlfn.XLOOKUP(C23,Productos!A:A,Productos!F:F,"No encontrado")</f>
        <v>4500</v>
      </c>
      <c r="K23" s="5">
        <f>_xlfn.XLOOKUP(C23,Productos!A:A,Productos!E:E, "No encontrado")</f>
        <v>3200</v>
      </c>
      <c r="L23" s="5">
        <f t="shared" si="0"/>
        <v>4500</v>
      </c>
      <c r="M23" s="5">
        <f t="shared" si="1"/>
        <v>3200</v>
      </c>
      <c r="N23" s="5">
        <f t="shared" si="2"/>
        <v>1300</v>
      </c>
      <c r="O23" s="5">
        <f t="shared" si="3"/>
        <v>0.28999999999999998</v>
      </c>
      <c r="Q23" s="11" t="s">
        <v>192</v>
      </c>
      <c r="R23" s="12">
        <v>19500</v>
      </c>
    </row>
    <row r="24" spans="1:18" x14ac:dyDescent="0.25">
      <c r="A24" s="4" t="s">
        <v>302</v>
      </c>
      <c r="B24" s="3">
        <v>46178</v>
      </c>
      <c r="C24" s="4" t="s">
        <v>134</v>
      </c>
      <c r="D24" s="1">
        <v>3</v>
      </c>
      <c r="E24" s="1" t="s">
        <v>6</v>
      </c>
      <c r="F24" s="1" t="s">
        <v>280</v>
      </c>
      <c r="G24" s="1" t="s">
        <v>9</v>
      </c>
      <c r="H24" s="5" t="str">
        <f>IFERROR(_xlfn.XLOOKUP(C24,Productos!A:A,Productos!B:B,FALSE),"No encontrado")</f>
        <v>Shampoo</v>
      </c>
      <c r="I24" s="5" t="str">
        <f>_xlfn.XLOOKUP(C24,Productos!A:A,Productos!C:C,"No encontrado")</f>
        <v>Aseo</v>
      </c>
      <c r="J24" s="5">
        <f>_xlfn.XLOOKUP(C24,Productos!A:A,Productos!F:F,"No encontrado")</f>
        <v>9000</v>
      </c>
      <c r="K24" s="5">
        <f>_xlfn.XLOOKUP(C24,Productos!A:A,Productos!E:E, "No encontrado")</f>
        <v>6000</v>
      </c>
      <c r="L24" s="5">
        <f t="shared" si="0"/>
        <v>27000</v>
      </c>
      <c r="M24" s="5">
        <f t="shared" si="1"/>
        <v>18000</v>
      </c>
      <c r="N24" s="5">
        <f t="shared" si="2"/>
        <v>9000</v>
      </c>
      <c r="O24" s="5">
        <f t="shared" si="3"/>
        <v>0.33</v>
      </c>
      <c r="Q24" s="11" t="s">
        <v>132</v>
      </c>
      <c r="R24" s="12">
        <v>28000</v>
      </c>
    </row>
    <row r="25" spans="1:18" x14ac:dyDescent="0.25">
      <c r="A25" s="4" t="s">
        <v>303</v>
      </c>
      <c r="B25" s="3">
        <v>46178</v>
      </c>
      <c r="C25" s="4" t="s">
        <v>166</v>
      </c>
      <c r="D25" s="1">
        <v>2</v>
      </c>
      <c r="E25" s="1" t="s">
        <v>8</v>
      </c>
      <c r="F25" s="1" t="s">
        <v>282</v>
      </c>
      <c r="G25" s="1" t="s">
        <v>7</v>
      </c>
      <c r="H25" s="5" t="str">
        <f>IFERROR(_xlfn.XLOOKUP(C25,Productos!A:A,Productos!B:B,FALSE),"No encontrado")</f>
        <v>Tortilla</v>
      </c>
      <c r="I25" s="5" t="str">
        <f>_xlfn.XLOOKUP(C25,Productos!A:A,Productos!C:C,"No encontrado")</f>
        <v>Panadería</v>
      </c>
      <c r="J25" s="5">
        <f>_xlfn.XLOOKUP(C25,Productos!A:A,Productos!F:F,"No encontrado")</f>
        <v>3500</v>
      </c>
      <c r="K25" s="5">
        <f>_xlfn.XLOOKUP(C25,Productos!A:A,Productos!E:E, "No encontrado")</f>
        <v>2000</v>
      </c>
      <c r="L25" s="5">
        <f t="shared" si="0"/>
        <v>7000</v>
      </c>
      <c r="M25" s="5">
        <f t="shared" si="1"/>
        <v>4000</v>
      </c>
      <c r="N25" s="5">
        <f t="shared" si="2"/>
        <v>3000</v>
      </c>
      <c r="O25" s="5">
        <f t="shared" si="3"/>
        <v>0.43</v>
      </c>
      <c r="Q25" s="11" t="s">
        <v>83</v>
      </c>
      <c r="R25" s="12">
        <v>28000</v>
      </c>
    </row>
    <row r="26" spans="1:18" x14ac:dyDescent="0.25">
      <c r="A26" s="4" t="s">
        <v>304</v>
      </c>
      <c r="B26" s="3">
        <v>46178</v>
      </c>
      <c r="C26" s="4" t="s">
        <v>186</v>
      </c>
      <c r="D26" s="1">
        <v>1</v>
      </c>
      <c r="E26" s="1" t="s">
        <v>5</v>
      </c>
      <c r="F26" s="1" t="s">
        <v>278</v>
      </c>
      <c r="G26" s="1" t="s">
        <v>9</v>
      </c>
      <c r="H26" s="5" t="str">
        <f>IFERROR(_xlfn.XLOOKUP(C26,Productos!A:A,Productos!B:B,FALSE),"No encontrado")</f>
        <v>Gaseosa 2.5L</v>
      </c>
      <c r="I26" s="5" t="str">
        <f>_xlfn.XLOOKUP(C26,Productos!A:A,Productos!C:C,"No encontrado")</f>
        <v>Bebidas</v>
      </c>
      <c r="J26" s="5">
        <f>_xlfn.XLOOKUP(C26,Productos!A:A,Productos!F:F,"No encontrado")</f>
        <v>6500</v>
      </c>
      <c r="K26" s="5">
        <f>_xlfn.XLOOKUP(C26,Productos!A:A,Productos!E:E, "No encontrado")</f>
        <v>4000</v>
      </c>
      <c r="L26" s="5">
        <f t="shared" si="0"/>
        <v>6500</v>
      </c>
      <c r="M26" s="5">
        <f t="shared" si="1"/>
        <v>4000</v>
      </c>
      <c r="N26" s="5">
        <f t="shared" si="2"/>
        <v>2500</v>
      </c>
      <c r="O26" s="5">
        <f t="shared" si="3"/>
        <v>0.38</v>
      </c>
      <c r="Q26" s="11" t="s">
        <v>45</v>
      </c>
      <c r="R26" s="12">
        <v>27000</v>
      </c>
    </row>
    <row r="27" spans="1:18" x14ac:dyDescent="0.25">
      <c r="A27" s="4" t="s">
        <v>305</v>
      </c>
      <c r="B27" s="3">
        <v>46179</v>
      </c>
      <c r="C27" s="4" t="s">
        <v>208</v>
      </c>
      <c r="D27" s="1">
        <v>2</v>
      </c>
      <c r="E27" s="1" t="s">
        <v>6</v>
      </c>
      <c r="F27" s="1" t="s">
        <v>280</v>
      </c>
      <c r="G27" s="1" t="s">
        <v>7</v>
      </c>
      <c r="H27" s="5" t="str">
        <f>IFERROR(_xlfn.XLOOKUP(C27,Productos!A:A,Productos!B:B,FALSE),"No encontrado")</f>
        <v>Panela</v>
      </c>
      <c r="I27" s="5" t="str">
        <f>_xlfn.XLOOKUP(C27,Productos!A:A,Productos!C:C,"No encontrado")</f>
        <v>Alimentos</v>
      </c>
      <c r="J27" s="5">
        <f>_xlfn.XLOOKUP(C27,Productos!A:A,Productos!F:F,"No encontrado")</f>
        <v>4000</v>
      </c>
      <c r="K27" s="5">
        <f>_xlfn.XLOOKUP(C27,Productos!A:A,Productos!E:E, "No encontrado")</f>
        <v>2500</v>
      </c>
      <c r="L27" s="5">
        <f t="shared" si="0"/>
        <v>8000</v>
      </c>
      <c r="M27" s="5">
        <f t="shared" si="1"/>
        <v>5000</v>
      </c>
      <c r="N27" s="5">
        <f t="shared" si="2"/>
        <v>3000</v>
      </c>
      <c r="O27" s="5">
        <f t="shared" si="3"/>
        <v>0.38</v>
      </c>
      <c r="Q27" s="11" t="s">
        <v>244</v>
      </c>
      <c r="R27" s="12">
        <v>26000</v>
      </c>
    </row>
    <row r="28" spans="1:18" x14ac:dyDescent="0.25">
      <c r="A28" s="4" t="s">
        <v>306</v>
      </c>
      <c r="B28" s="3">
        <v>46179</v>
      </c>
      <c r="C28" s="4" t="s">
        <v>238</v>
      </c>
      <c r="D28" s="1">
        <v>1</v>
      </c>
      <c r="E28" s="1" t="s">
        <v>8</v>
      </c>
      <c r="F28" s="1" t="s">
        <v>282</v>
      </c>
      <c r="G28" s="1" t="s">
        <v>9</v>
      </c>
      <c r="H28" s="5" t="str">
        <f>IFERROR(_xlfn.XLOOKUP(C28,Productos!A:A,Productos!B:B,FALSE),"No encontrado")</f>
        <v>Pasta dental</v>
      </c>
      <c r="I28" s="5" t="str">
        <f>_xlfn.XLOOKUP(C28,Productos!A:A,Productos!C:C,"No encontrado")</f>
        <v>Aseo</v>
      </c>
      <c r="J28" s="5">
        <f>_xlfn.XLOOKUP(C28,Productos!A:A,Productos!F:F,"No encontrado")</f>
        <v>6000</v>
      </c>
      <c r="K28" s="5">
        <f>_xlfn.XLOOKUP(C28,Productos!A:A,Productos!E:E, "No encontrado")</f>
        <v>3500</v>
      </c>
      <c r="L28" s="5">
        <f t="shared" si="0"/>
        <v>6000</v>
      </c>
      <c r="M28" s="5">
        <f t="shared" si="1"/>
        <v>3500</v>
      </c>
      <c r="N28" s="5">
        <f t="shared" si="2"/>
        <v>2500</v>
      </c>
      <c r="O28" s="5">
        <f t="shared" si="3"/>
        <v>0.42</v>
      </c>
      <c r="Q28" s="11" t="s">
        <v>79</v>
      </c>
      <c r="R28" s="12">
        <v>18000</v>
      </c>
    </row>
    <row r="29" spans="1:18" x14ac:dyDescent="0.25">
      <c r="A29" s="4" t="s">
        <v>307</v>
      </c>
      <c r="B29" s="3">
        <v>46179</v>
      </c>
      <c r="C29" s="4" t="s">
        <v>254</v>
      </c>
      <c r="D29" s="1">
        <v>3</v>
      </c>
      <c r="E29" s="1" t="s">
        <v>5</v>
      </c>
      <c r="F29" s="1" t="s">
        <v>278</v>
      </c>
      <c r="G29" s="1" t="s">
        <v>7</v>
      </c>
      <c r="H29" s="5" t="str">
        <f>IFERROR(_xlfn.XLOOKUP(C29,Productos!A:A,Productos!B:B,FALSE),"No encontrado")</f>
        <v>Arroz integral</v>
      </c>
      <c r="I29" s="5" t="str">
        <f>_xlfn.XLOOKUP(C29,Productos!A:A,Productos!C:C,"No encontrado")</f>
        <v>Alimentos</v>
      </c>
      <c r="J29" s="5">
        <f>_xlfn.XLOOKUP(C29,Productos!A:A,Productos!F:F,"No encontrado")</f>
        <v>4500</v>
      </c>
      <c r="K29" s="5">
        <f>_xlfn.XLOOKUP(C29,Productos!A:A,Productos!E:E, "No encontrado")</f>
        <v>3000</v>
      </c>
      <c r="L29" s="5">
        <f t="shared" si="0"/>
        <v>13500</v>
      </c>
      <c r="M29" s="5">
        <f t="shared" si="1"/>
        <v>9000</v>
      </c>
      <c r="N29" s="5">
        <f t="shared" si="2"/>
        <v>4500</v>
      </c>
      <c r="O29" s="5">
        <f t="shared" si="3"/>
        <v>0.33</v>
      </c>
      <c r="Q29" s="11" t="s">
        <v>349</v>
      </c>
      <c r="R29" s="12">
        <v>242000</v>
      </c>
    </row>
    <row r="30" spans="1:18" x14ac:dyDescent="0.25">
      <c r="A30" s="4" t="s">
        <v>308</v>
      </c>
      <c r="B30" s="3">
        <v>46179</v>
      </c>
      <c r="C30" s="4" t="s">
        <v>266</v>
      </c>
      <c r="D30" s="1">
        <v>2</v>
      </c>
      <c r="E30" s="1" t="s">
        <v>6</v>
      </c>
      <c r="F30" s="1" t="s">
        <v>280</v>
      </c>
      <c r="G30" s="1" t="s">
        <v>9</v>
      </c>
      <c r="H30" s="5" t="str">
        <f>IFERROR(_xlfn.XLOOKUP(C30,Productos!A:A,Productos!B:B,FALSE),"No encontrado")</f>
        <v>Leche chocolatada</v>
      </c>
      <c r="I30" s="5" t="str">
        <f>_xlfn.XLOOKUP(C30,Productos!A:A,Productos!C:C,"No encontrado")</f>
        <v>Lácteos</v>
      </c>
      <c r="J30" s="5">
        <f>_xlfn.XLOOKUP(C30,Productos!A:A,Productos!F:F,"No encontrado")</f>
        <v>4000</v>
      </c>
      <c r="K30" s="5">
        <f>_xlfn.XLOOKUP(C30,Productos!A:A,Productos!E:E, "No encontrado")</f>
        <v>2500</v>
      </c>
      <c r="L30" s="5">
        <f t="shared" si="0"/>
        <v>8000</v>
      </c>
      <c r="M30" s="5">
        <f t="shared" si="1"/>
        <v>5000</v>
      </c>
      <c r="N30" s="5">
        <f t="shared" si="2"/>
        <v>3000</v>
      </c>
      <c r="O30" s="5">
        <f t="shared" si="3"/>
        <v>0.38</v>
      </c>
    </row>
    <row r="31" spans="1:18" x14ac:dyDescent="0.25">
      <c r="A31" s="4" t="s">
        <v>309</v>
      </c>
      <c r="B31" s="3">
        <v>46179</v>
      </c>
      <c r="C31" s="4" t="s">
        <v>42</v>
      </c>
      <c r="D31" s="1">
        <v>1</v>
      </c>
      <c r="E31" s="1" t="s">
        <v>8</v>
      </c>
      <c r="F31" s="1" t="s">
        <v>282</v>
      </c>
      <c r="G31" s="1" t="s">
        <v>7</v>
      </c>
      <c r="H31" s="5" t="str">
        <f>IFERROR(_xlfn.XLOOKUP(C31,Productos!A:A,Productos!B:B,FALSE),"No encontrado")</f>
        <v>Whisky mini</v>
      </c>
      <c r="I31" s="5" t="str">
        <f>_xlfn.XLOOKUP(C31,Productos!A:A,Productos!C:C,"No encontrado")</f>
        <v>Licores</v>
      </c>
      <c r="J31" s="5">
        <f>_xlfn.XLOOKUP(C31,Productos!A:A,Productos!F:F,"No encontrado")</f>
        <v>18000</v>
      </c>
      <c r="K31" s="5">
        <f>_xlfn.XLOOKUP(C31,Productos!A:A,Productos!E:E, "No encontrado")</f>
        <v>12000</v>
      </c>
      <c r="L31" s="5">
        <f t="shared" si="0"/>
        <v>18000</v>
      </c>
      <c r="M31" s="5">
        <f t="shared" si="1"/>
        <v>12000</v>
      </c>
      <c r="N31" s="5">
        <f t="shared" si="2"/>
        <v>6000</v>
      </c>
      <c r="O31" s="5">
        <f t="shared" si="3"/>
        <v>0.33</v>
      </c>
    </row>
    <row r="32" spans="1:18" x14ac:dyDescent="0.25">
      <c r="A32" s="4" t="s">
        <v>310</v>
      </c>
      <c r="B32" s="3">
        <v>46180</v>
      </c>
      <c r="C32" s="4" t="s">
        <v>90</v>
      </c>
      <c r="D32" s="1">
        <v>2</v>
      </c>
      <c r="E32" s="1" t="s">
        <v>5</v>
      </c>
      <c r="F32" s="1" t="s">
        <v>278</v>
      </c>
      <c r="G32" s="1" t="s">
        <v>9</v>
      </c>
      <c r="H32" s="5" t="str">
        <f>IFERROR(_xlfn.XLOOKUP(C32,Productos!A:A,Productos!B:B,FALSE),"No encontrado")</f>
        <v>Azúcar 1kg</v>
      </c>
      <c r="I32" s="5" t="str">
        <f>_xlfn.XLOOKUP(C32,Productos!A:A,Productos!C:C,"No encontrado")</f>
        <v>Alimentos</v>
      </c>
      <c r="J32" s="5">
        <f>_xlfn.XLOOKUP(C32,Productos!A:A,Productos!F:F,"No encontrado")</f>
        <v>3800</v>
      </c>
      <c r="K32" s="5">
        <f>_xlfn.XLOOKUP(C32,Productos!A:A,Productos!E:E, "No encontrado")</f>
        <v>2600</v>
      </c>
      <c r="L32" s="5">
        <f t="shared" si="0"/>
        <v>7600</v>
      </c>
      <c r="M32" s="5">
        <f t="shared" si="1"/>
        <v>5200</v>
      </c>
      <c r="N32" s="5">
        <f t="shared" si="2"/>
        <v>2400</v>
      </c>
      <c r="O32" s="5">
        <f t="shared" si="3"/>
        <v>0.32</v>
      </c>
    </row>
    <row r="33" spans="1:15" x14ac:dyDescent="0.25">
      <c r="A33" s="4" t="s">
        <v>311</v>
      </c>
      <c r="B33" s="3">
        <v>46180</v>
      </c>
      <c r="C33" s="4" t="s">
        <v>119</v>
      </c>
      <c r="D33" s="1">
        <v>1</v>
      </c>
      <c r="E33" s="1" t="s">
        <v>6</v>
      </c>
      <c r="F33" s="1" t="s">
        <v>280</v>
      </c>
      <c r="G33" s="1" t="s">
        <v>7</v>
      </c>
      <c r="H33" s="5" t="str">
        <f>IFERROR(_xlfn.XLOOKUP(C33,Productos!A:A,Productos!B:B,FALSE),"No encontrado")</f>
        <v>Carne molida</v>
      </c>
      <c r="I33" s="5" t="str">
        <f>_xlfn.XLOOKUP(C33,Productos!A:A,Productos!C:C,"No encontrado")</f>
        <v>Proteína</v>
      </c>
      <c r="J33" s="5">
        <f>_xlfn.XLOOKUP(C33,Productos!A:A,Productos!F:F,"No encontrado")</f>
        <v>15000</v>
      </c>
      <c r="K33" s="5">
        <f>_xlfn.XLOOKUP(C33,Productos!A:A,Productos!E:E, "No encontrado")</f>
        <v>10000</v>
      </c>
      <c r="L33" s="5">
        <f t="shared" si="0"/>
        <v>15000</v>
      </c>
      <c r="M33" s="5">
        <f t="shared" si="1"/>
        <v>10000</v>
      </c>
      <c r="N33" s="5">
        <f t="shared" si="2"/>
        <v>5000</v>
      </c>
      <c r="O33" s="5">
        <f t="shared" si="3"/>
        <v>0.33</v>
      </c>
    </row>
    <row r="34" spans="1:15" x14ac:dyDescent="0.25">
      <c r="A34" s="4" t="s">
        <v>312</v>
      </c>
      <c r="B34" s="3">
        <v>46180</v>
      </c>
      <c r="C34" s="4" t="s">
        <v>146</v>
      </c>
      <c r="D34" s="1">
        <v>3</v>
      </c>
      <c r="E34" s="1" t="s">
        <v>8</v>
      </c>
      <c r="F34" s="1" t="s">
        <v>282</v>
      </c>
      <c r="G34" s="1" t="s">
        <v>9</v>
      </c>
      <c r="H34" s="5" t="str">
        <f>IFERROR(_xlfn.XLOOKUP(C34,Productos!A:A,Productos!B:B,FALSE),"No encontrado")</f>
        <v>Doritos</v>
      </c>
      <c r="I34" s="5" t="str">
        <f>_xlfn.XLOOKUP(C34,Productos!A:A,Productos!C:C,"No encontrado")</f>
        <v>Snacks</v>
      </c>
      <c r="J34" s="5">
        <f>_xlfn.XLOOKUP(C34,Productos!A:A,Productos!F:F,"No encontrado")</f>
        <v>1600</v>
      </c>
      <c r="K34" s="5">
        <f>_xlfn.XLOOKUP(C34,Productos!A:A,Productos!E:E, "No encontrado")</f>
        <v>900</v>
      </c>
      <c r="L34" s="5">
        <f t="shared" si="0"/>
        <v>4800</v>
      </c>
      <c r="M34" s="5">
        <f t="shared" si="1"/>
        <v>2700</v>
      </c>
      <c r="N34" s="5">
        <f t="shared" si="2"/>
        <v>2100</v>
      </c>
      <c r="O34" s="5">
        <f t="shared" si="3"/>
        <v>0.44</v>
      </c>
    </row>
    <row r="35" spans="1:15" x14ac:dyDescent="0.25">
      <c r="A35" s="4" t="s">
        <v>313</v>
      </c>
      <c r="B35" s="3">
        <v>46180</v>
      </c>
      <c r="C35" s="4" t="s">
        <v>174</v>
      </c>
      <c r="D35" s="1">
        <v>2</v>
      </c>
      <c r="E35" s="1" t="s">
        <v>5</v>
      </c>
      <c r="F35" s="1" t="s">
        <v>278</v>
      </c>
      <c r="G35" s="1" t="s">
        <v>7</v>
      </c>
      <c r="H35" s="5" t="str">
        <f>IFERROR(_xlfn.XLOOKUP(C35,Productos!A:A,Productos!B:B,FALSE),"No encontrado")</f>
        <v>Jugo Hit</v>
      </c>
      <c r="I35" s="5" t="str">
        <f>_xlfn.XLOOKUP(C35,Productos!A:A,Productos!C:C,"No encontrado")</f>
        <v>Bebidas</v>
      </c>
      <c r="J35" s="5">
        <f>_xlfn.XLOOKUP(C35,Productos!A:A,Productos!F:F,"No encontrado")</f>
        <v>3000</v>
      </c>
      <c r="K35" s="5">
        <f>_xlfn.XLOOKUP(C35,Productos!A:A,Productos!E:E, "No encontrado")</f>
        <v>1800</v>
      </c>
      <c r="L35" s="5">
        <f t="shared" si="0"/>
        <v>6000</v>
      </c>
      <c r="M35" s="5">
        <f t="shared" si="1"/>
        <v>3600</v>
      </c>
      <c r="N35" s="5">
        <f t="shared" si="2"/>
        <v>2400</v>
      </c>
      <c r="O35" s="5">
        <f t="shared" si="3"/>
        <v>0.4</v>
      </c>
    </row>
    <row r="36" spans="1:15" x14ac:dyDescent="0.25">
      <c r="A36" s="4" t="s">
        <v>314</v>
      </c>
      <c r="B36" s="3">
        <v>46180</v>
      </c>
      <c r="C36" s="4" t="s">
        <v>203</v>
      </c>
      <c r="D36" s="1">
        <v>1</v>
      </c>
      <c r="E36" s="1" t="s">
        <v>6</v>
      </c>
      <c r="F36" s="1" t="s">
        <v>280</v>
      </c>
      <c r="G36" s="1" t="s">
        <v>9</v>
      </c>
      <c r="H36" s="5" t="str">
        <f>IFERROR(_xlfn.XLOOKUP(C36,Productos!A:A,Productos!B:B,FALSE),"No encontrado")</f>
        <v>Maíz</v>
      </c>
      <c r="I36" s="5" t="str">
        <f>_xlfn.XLOOKUP(C36,Productos!A:A,Productos!C:C,"No encontrado")</f>
        <v>Alimentos</v>
      </c>
      <c r="J36" s="5">
        <f>_xlfn.XLOOKUP(C36,Productos!A:A,Productos!F:F,"No encontrado")</f>
        <v>3200</v>
      </c>
      <c r="K36" s="5">
        <f>_xlfn.XLOOKUP(C36,Productos!A:A,Productos!E:E, "No encontrado")</f>
        <v>2000</v>
      </c>
      <c r="L36" s="5">
        <f t="shared" si="0"/>
        <v>3200</v>
      </c>
      <c r="M36" s="5">
        <f t="shared" si="1"/>
        <v>2000</v>
      </c>
      <c r="N36" s="5">
        <f t="shared" si="2"/>
        <v>1200</v>
      </c>
      <c r="O36" s="5">
        <f t="shared" si="3"/>
        <v>0.38</v>
      </c>
    </row>
    <row r="37" spans="1:15" x14ac:dyDescent="0.25">
      <c r="A37" s="4" t="s">
        <v>315</v>
      </c>
      <c r="B37" s="3">
        <v>46181</v>
      </c>
      <c r="C37" s="4" t="s">
        <v>228</v>
      </c>
      <c r="D37" s="1">
        <v>2</v>
      </c>
      <c r="E37" s="1" t="s">
        <v>8</v>
      </c>
      <c r="F37" s="1" t="s">
        <v>282</v>
      </c>
      <c r="G37" s="1" t="s">
        <v>7</v>
      </c>
      <c r="H37" s="5" t="str">
        <f>IFERROR(_xlfn.XLOOKUP(C37,Productos!A:A,Productos!B:B,FALSE),"No encontrado")</f>
        <v>Chocolatina jumbo</v>
      </c>
      <c r="I37" s="5" t="str">
        <f>_xlfn.XLOOKUP(C37,Productos!A:A,Productos!C:C,"No encontrado")</f>
        <v>Snacks</v>
      </c>
      <c r="J37" s="5">
        <f>_xlfn.XLOOKUP(C37,Productos!A:A,Productos!F:F,"No encontrado")</f>
        <v>5000</v>
      </c>
      <c r="K37" s="5">
        <f>_xlfn.XLOOKUP(C37,Productos!A:A,Productos!E:E, "No encontrado")</f>
        <v>3000</v>
      </c>
      <c r="L37" s="5">
        <f t="shared" si="0"/>
        <v>10000</v>
      </c>
      <c r="M37" s="5">
        <f t="shared" si="1"/>
        <v>6000</v>
      </c>
      <c r="N37" s="5">
        <f t="shared" si="2"/>
        <v>4000</v>
      </c>
      <c r="O37" s="5">
        <f t="shared" si="3"/>
        <v>0.4</v>
      </c>
    </row>
    <row r="38" spans="1:15" x14ac:dyDescent="0.25">
      <c r="A38" s="4" t="s">
        <v>316</v>
      </c>
      <c r="B38" s="3">
        <v>46181</v>
      </c>
      <c r="C38" s="4" t="s">
        <v>256</v>
      </c>
      <c r="D38" s="1">
        <v>1</v>
      </c>
      <c r="E38" s="1" t="s">
        <v>5</v>
      </c>
      <c r="F38" s="1" t="s">
        <v>278</v>
      </c>
      <c r="G38" s="1" t="s">
        <v>9</v>
      </c>
      <c r="H38" s="5" t="str">
        <f>IFERROR(_xlfn.XLOOKUP(C38,Productos!A:A,Productos!B:B,FALSE),"No encontrado")</f>
        <v>Quinua</v>
      </c>
      <c r="I38" s="5" t="str">
        <f>_xlfn.XLOOKUP(C38,Productos!A:A,Productos!C:C,"No encontrado")</f>
        <v>Alimentos</v>
      </c>
      <c r="J38" s="5">
        <f>_xlfn.XLOOKUP(C38,Productos!A:A,Productos!F:F,"No encontrado")</f>
        <v>9000</v>
      </c>
      <c r="K38" s="5">
        <f>_xlfn.XLOOKUP(C38,Productos!A:A,Productos!E:E, "No encontrado")</f>
        <v>6000</v>
      </c>
      <c r="L38" s="5">
        <f t="shared" si="0"/>
        <v>9000</v>
      </c>
      <c r="M38" s="5">
        <f t="shared" si="1"/>
        <v>6000</v>
      </c>
      <c r="N38" s="5">
        <f t="shared" si="2"/>
        <v>3000</v>
      </c>
      <c r="O38" s="5">
        <f t="shared" si="3"/>
        <v>0.33</v>
      </c>
    </row>
    <row r="39" spans="1:15" x14ac:dyDescent="0.25">
      <c r="A39" s="4" t="s">
        <v>317</v>
      </c>
      <c r="B39" s="3">
        <v>46181</v>
      </c>
      <c r="C39" s="4" t="s">
        <v>33</v>
      </c>
      <c r="D39" s="1">
        <v>3</v>
      </c>
      <c r="E39" s="1" t="s">
        <v>6</v>
      </c>
      <c r="F39" s="1" t="s">
        <v>280</v>
      </c>
      <c r="G39" s="1" t="s">
        <v>7</v>
      </c>
      <c r="H39" s="5" t="str">
        <f>IFERROR(_xlfn.XLOOKUP(C39,Productos!A:A,Productos!B:B,FALSE),"No encontrado")</f>
        <v>Agua 1.5L</v>
      </c>
      <c r="I39" s="5" t="str">
        <f>_xlfn.XLOOKUP(C39,Productos!A:A,Productos!C:C,"No encontrado")</f>
        <v>Bebidas</v>
      </c>
      <c r="J39" s="5">
        <f>_xlfn.XLOOKUP(C39,Productos!A:A,Productos!F:F,"No encontrado")</f>
        <v>2000</v>
      </c>
      <c r="K39" s="5">
        <f>_xlfn.XLOOKUP(C39,Productos!A:A,Productos!E:E, "No encontrado")</f>
        <v>1200</v>
      </c>
      <c r="L39" s="5">
        <f t="shared" si="0"/>
        <v>6000</v>
      </c>
      <c r="M39" s="5">
        <f t="shared" si="1"/>
        <v>3600</v>
      </c>
      <c r="N39" s="5">
        <f t="shared" si="2"/>
        <v>2400</v>
      </c>
      <c r="O39" s="5">
        <f t="shared" si="3"/>
        <v>0.4</v>
      </c>
    </row>
    <row r="40" spans="1:15" x14ac:dyDescent="0.25">
      <c r="A40" s="4" t="s">
        <v>318</v>
      </c>
      <c r="B40" s="3">
        <v>46181</v>
      </c>
      <c r="C40" s="4" t="s">
        <v>61</v>
      </c>
      <c r="D40" s="1">
        <v>2</v>
      </c>
      <c r="E40" s="1" t="s">
        <v>8</v>
      </c>
      <c r="F40" s="1" t="s">
        <v>282</v>
      </c>
      <c r="G40" s="1" t="s">
        <v>9</v>
      </c>
      <c r="H40" s="5" t="str">
        <f>IFERROR(_xlfn.XLOOKUP(C40,Productos!A:A,Productos!B:B,FALSE),"No encontrado")</f>
        <v>Pasta 500g</v>
      </c>
      <c r="I40" s="5" t="str">
        <f>_xlfn.XLOOKUP(C40,Productos!A:A,Productos!C:C,"No encontrado")</f>
        <v>Alimentos</v>
      </c>
      <c r="J40" s="5">
        <f>_xlfn.XLOOKUP(C40,Productos!A:A,Productos!F:F,"No encontrado")</f>
        <v>3000</v>
      </c>
      <c r="K40" s="5">
        <f>_xlfn.XLOOKUP(C40,Productos!A:A,Productos!E:E, "No encontrado")</f>
        <v>1800</v>
      </c>
      <c r="L40" s="5">
        <f t="shared" si="0"/>
        <v>6000</v>
      </c>
      <c r="M40" s="5">
        <f t="shared" si="1"/>
        <v>3600</v>
      </c>
      <c r="N40" s="5">
        <f t="shared" si="2"/>
        <v>2400</v>
      </c>
      <c r="O40" s="5">
        <f t="shared" si="3"/>
        <v>0.4</v>
      </c>
    </row>
    <row r="41" spans="1:15" x14ac:dyDescent="0.25">
      <c r="A41" s="4" t="s">
        <v>319</v>
      </c>
      <c r="B41" s="3">
        <v>46181</v>
      </c>
      <c r="C41" s="4" t="s">
        <v>108</v>
      </c>
      <c r="D41" s="1">
        <v>1</v>
      </c>
      <c r="E41" s="1" t="s">
        <v>5</v>
      </c>
      <c r="F41" s="1" t="s">
        <v>278</v>
      </c>
      <c r="G41" s="1" t="s">
        <v>7</v>
      </c>
      <c r="H41" s="5" t="str">
        <f>IFERROR(_xlfn.XLOOKUP(C41,Productos!A:A,Productos!B:B,FALSE),"No encontrado")</f>
        <v>Queso</v>
      </c>
      <c r="I41" s="5" t="str">
        <f>_xlfn.XLOOKUP(C41,Productos!A:A,Productos!C:C,"No encontrado")</f>
        <v>Lácteos</v>
      </c>
      <c r="J41" s="5">
        <f>_xlfn.XLOOKUP(C41,Productos!A:A,Productos!F:F,"No encontrado")</f>
        <v>6500</v>
      </c>
      <c r="K41" s="5">
        <f>_xlfn.XLOOKUP(C41,Productos!A:A,Productos!E:E, "No encontrado")</f>
        <v>4500</v>
      </c>
      <c r="L41" s="5">
        <f t="shared" si="0"/>
        <v>6500</v>
      </c>
      <c r="M41" s="5">
        <f t="shared" si="1"/>
        <v>4500</v>
      </c>
      <c r="N41" s="5">
        <f t="shared" si="2"/>
        <v>2000</v>
      </c>
      <c r="O41" s="5">
        <f t="shared" si="3"/>
        <v>0.31</v>
      </c>
    </row>
    <row r="42" spans="1:15" x14ac:dyDescent="0.25">
      <c r="A42" s="4" t="s">
        <v>320</v>
      </c>
      <c r="B42" s="3">
        <v>46182</v>
      </c>
      <c r="C42" s="4" t="s">
        <v>135</v>
      </c>
      <c r="D42" s="1">
        <v>2</v>
      </c>
      <c r="E42" s="1" t="s">
        <v>6</v>
      </c>
      <c r="F42" s="1" t="s">
        <v>280</v>
      </c>
      <c r="G42" s="1" t="s">
        <v>9</v>
      </c>
      <c r="H42" s="5" t="str">
        <f>IFERROR(_xlfn.XLOOKUP(C42,Productos!A:A,Productos!B:B,FALSE),"No encontrado")</f>
        <v>Acondicionador</v>
      </c>
      <c r="I42" s="5" t="str">
        <f>_xlfn.XLOOKUP(C42,Productos!A:A,Productos!C:C,"No encontrado")</f>
        <v>Aseo</v>
      </c>
      <c r="J42" s="5">
        <f>_xlfn.XLOOKUP(C42,Productos!A:A,Productos!F:F,"No encontrado")</f>
        <v>9000</v>
      </c>
      <c r="K42" s="5">
        <f>_xlfn.XLOOKUP(C42,Productos!A:A,Productos!E:E, "No encontrado")</f>
        <v>6000</v>
      </c>
      <c r="L42" s="5">
        <f t="shared" si="0"/>
        <v>18000</v>
      </c>
      <c r="M42" s="5">
        <f t="shared" si="1"/>
        <v>12000</v>
      </c>
      <c r="N42" s="5">
        <f t="shared" si="2"/>
        <v>6000</v>
      </c>
      <c r="O42" s="5">
        <f t="shared" si="3"/>
        <v>0.33</v>
      </c>
    </row>
    <row r="43" spans="1:15" x14ac:dyDescent="0.25">
      <c r="A43" s="4" t="s">
        <v>321</v>
      </c>
      <c r="B43" s="3">
        <v>46182</v>
      </c>
      <c r="C43" s="4" t="s">
        <v>162</v>
      </c>
      <c r="D43" s="1">
        <v>1</v>
      </c>
      <c r="E43" s="1" t="s">
        <v>8</v>
      </c>
      <c r="F43" s="1" t="s">
        <v>282</v>
      </c>
      <c r="G43" s="1" t="s">
        <v>7</v>
      </c>
      <c r="H43" s="5" t="str">
        <f>IFERROR(_xlfn.XLOOKUP(C43,Productos!A:A,Productos!B:B,FALSE),"No encontrado")</f>
        <v>Pan perro</v>
      </c>
      <c r="I43" s="5" t="str">
        <f>_xlfn.XLOOKUP(C43,Productos!A:A,Productos!C:C,"No encontrado")</f>
        <v>Panadería</v>
      </c>
      <c r="J43" s="5">
        <f>_xlfn.XLOOKUP(C43,Productos!A:A,Productos!F:F,"No encontrado")</f>
        <v>2000</v>
      </c>
      <c r="K43" s="5">
        <f>_xlfn.XLOOKUP(C43,Productos!A:A,Productos!E:E, "No encontrado")</f>
        <v>1200</v>
      </c>
      <c r="L43" s="5">
        <f t="shared" si="0"/>
        <v>2000</v>
      </c>
      <c r="M43" s="5">
        <f t="shared" si="1"/>
        <v>1200</v>
      </c>
      <c r="N43" s="5">
        <f t="shared" si="2"/>
        <v>800</v>
      </c>
      <c r="O43" s="5">
        <f t="shared" si="3"/>
        <v>0.4</v>
      </c>
    </row>
    <row r="44" spans="1:15" x14ac:dyDescent="0.25">
      <c r="A44" s="4" t="s">
        <v>322</v>
      </c>
      <c r="B44" s="3">
        <v>46182</v>
      </c>
      <c r="C44" s="4" t="s">
        <v>191</v>
      </c>
      <c r="D44" s="1">
        <v>3</v>
      </c>
      <c r="E44" s="1" t="s">
        <v>5</v>
      </c>
      <c r="F44" s="1" t="s">
        <v>278</v>
      </c>
      <c r="G44" s="1" t="s">
        <v>9</v>
      </c>
      <c r="H44" s="5" t="str">
        <f>IFERROR(_xlfn.XLOOKUP(C44,Productos!A:A,Productos!B:B,FALSE),"No encontrado")</f>
        <v>Mayonesa</v>
      </c>
      <c r="I44" s="5" t="str">
        <f>_xlfn.XLOOKUP(C44,Productos!A:A,Productos!C:C,"No encontrado")</f>
        <v>Alimentos</v>
      </c>
      <c r="J44" s="5">
        <f>_xlfn.XLOOKUP(C44,Productos!A:A,Productos!F:F,"No encontrado")</f>
        <v>6500</v>
      </c>
      <c r="K44" s="5">
        <f>_xlfn.XLOOKUP(C44,Productos!A:A,Productos!E:E, "No encontrado")</f>
        <v>4000</v>
      </c>
      <c r="L44" s="5">
        <f t="shared" si="0"/>
        <v>19500</v>
      </c>
      <c r="M44" s="5">
        <f t="shared" si="1"/>
        <v>12000</v>
      </c>
      <c r="N44" s="5">
        <f t="shared" si="2"/>
        <v>7500</v>
      </c>
      <c r="O44" s="5">
        <f t="shared" si="3"/>
        <v>0.38</v>
      </c>
    </row>
    <row r="45" spans="1:15" x14ac:dyDescent="0.25">
      <c r="A45" s="4" t="s">
        <v>323</v>
      </c>
      <c r="B45" s="3">
        <v>46182</v>
      </c>
      <c r="C45" s="4" t="s">
        <v>220</v>
      </c>
      <c r="D45" s="1">
        <v>2</v>
      </c>
      <c r="E45" s="1" t="s">
        <v>6</v>
      </c>
      <c r="F45" s="1" t="s">
        <v>280</v>
      </c>
      <c r="G45" s="1" t="s">
        <v>7</v>
      </c>
      <c r="H45" s="5" t="str">
        <f>IFERROR(_xlfn.XLOOKUP(C45,Productos!A:A,Productos!B:B,FALSE),"No encontrado")</f>
        <v>Hit mango</v>
      </c>
      <c r="I45" s="5" t="str">
        <f>_xlfn.XLOOKUP(C45,Productos!A:A,Productos!C:C,"No encontrado")</f>
        <v>Bebidas</v>
      </c>
      <c r="J45" s="5">
        <f>_xlfn.XLOOKUP(C45,Productos!A:A,Productos!F:F,"No encontrado")</f>
        <v>3000</v>
      </c>
      <c r="K45" s="5">
        <f>_xlfn.XLOOKUP(C45,Productos!A:A,Productos!E:E, "No encontrado")</f>
        <v>1800</v>
      </c>
      <c r="L45" s="5">
        <f t="shared" si="0"/>
        <v>6000</v>
      </c>
      <c r="M45" s="5">
        <f t="shared" si="1"/>
        <v>3600</v>
      </c>
      <c r="N45" s="5">
        <f t="shared" si="2"/>
        <v>2400</v>
      </c>
      <c r="O45" s="5">
        <f t="shared" si="3"/>
        <v>0.4</v>
      </c>
    </row>
    <row r="46" spans="1:15" x14ac:dyDescent="0.25">
      <c r="A46" s="4" t="s">
        <v>324</v>
      </c>
      <c r="B46" s="3">
        <v>46182</v>
      </c>
      <c r="C46" s="4" t="s">
        <v>248</v>
      </c>
      <c r="D46" s="1">
        <v>1</v>
      </c>
      <c r="E46" s="1" t="s">
        <v>8</v>
      </c>
      <c r="F46" s="1" t="s">
        <v>282</v>
      </c>
      <c r="G46" s="1" t="s">
        <v>9</v>
      </c>
      <c r="H46" s="5" t="str">
        <f>IFERROR(_xlfn.XLOOKUP(C46,Productos!A:A,Productos!B:B,FALSE),"No encontrado")</f>
        <v>Suavizante</v>
      </c>
      <c r="I46" s="5" t="str">
        <f>_xlfn.XLOOKUP(C46,Productos!A:A,Productos!C:C,"No encontrado")</f>
        <v>Aseo</v>
      </c>
      <c r="J46" s="5">
        <f>_xlfn.XLOOKUP(C46,Productos!A:A,Productos!F:F,"No encontrado")</f>
        <v>8000</v>
      </c>
      <c r="K46" s="5">
        <f>_xlfn.XLOOKUP(C46,Productos!A:A,Productos!E:E, "No encontrado")</f>
        <v>5000</v>
      </c>
      <c r="L46" s="5">
        <f t="shared" si="0"/>
        <v>8000</v>
      </c>
      <c r="M46" s="5">
        <f t="shared" si="1"/>
        <v>5000</v>
      </c>
      <c r="N46" s="5">
        <f t="shared" si="2"/>
        <v>3000</v>
      </c>
      <c r="O46" s="5">
        <f t="shared" si="3"/>
        <v>0.38</v>
      </c>
    </row>
    <row r="47" spans="1:15" x14ac:dyDescent="0.25">
      <c r="A47" s="4" t="s">
        <v>325</v>
      </c>
      <c r="B47" s="3">
        <v>46183</v>
      </c>
      <c r="C47" s="4" t="s">
        <v>25</v>
      </c>
      <c r="D47" s="1">
        <v>2</v>
      </c>
      <c r="E47" s="1" t="s">
        <v>5</v>
      </c>
      <c r="F47" s="1" t="s">
        <v>278</v>
      </c>
      <c r="G47" s="1" t="s">
        <v>7</v>
      </c>
      <c r="H47" s="5" t="str">
        <f>IFERROR(_xlfn.XLOOKUP(C47,Productos!A:A,Productos!B:B,FALSE),"No encontrado")</f>
        <v>Pepsi 1.5L</v>
      </c>
      <c r="I47" s="5" t="str">
        <f>_xlfn.XLOOKUP(C47,Productos!A:A,Productos!C:C,"No encontrado")</f>
        <v>Bebidas</v>
      </c>
      <c r="J47" s="5">
        <f>_xlfn.XLOOKUP(C47,Productos!A:A,Productos!F:F,"No encontrado")</f>
        <v>4800</v>
      </c>
      <c r="K47" s="5">
        <f>_xlfn.XLOOKUP(C47,Productos!A:A,Productos!E:E, "No encontrado")</f>
        <v>2700</v>
      </c>
      <c r="L47" s="5">
        <f t="shared" si="0"/>
        <v>9600</v>
      </c>
      <c r="M47" s="5">
        <f t="shared" si="1"/>
        <v>5400</v>
      </c>
      <c r="N47" s="5">
        <f t="shared" si="2"/>
        <v>4200</v>
      </c>
      <c r="O47" s="5">
        <f t="shared" si="3"/>
        <v>0.44</v>
      </c>
    </row>
    <row r="48" spans="1:15" x14ac:dyDescent="0.25">
      <c r="A48" s="4" t="s">
        <v>326</v>
      </c>
      <c r="B48" s="3">
        <v>46183</v>
      </c>
      <c r="C48" s="4" t="s">
        <v>54</v>
      </c>
      <c r="D48" s="1">
        <v>1</v>
      </c>
      <c r="E48" s="1" t="s">
        <v>6</v>
      </c>
      <c r="F48" s="1" t="s">
        <v>280</v>
      </c>
      <c r="G48" s="1" t="s">
        <v>9</v>
      </c>
      <c r="H48" s="5" t="str">
        <f>IFERROR(_xlfn.XLOOKUP(C48,Productos!A:A,Productos!B:B,FALSE),"No encontrado")</f>
        <v>Lentejas 500g</v>
      </c>
      <c r="I48" s="5" t="str">
        <f>_xlfn.XLOOKUP(C48,Productos!A:A,Productos!C:C,"No encontrado")</f>
        <v>Alimentos</v>
      </c>
      <c r="J48" s="5">
        <f>_xlfn.XLOOKUP(C48,Productos!A:A,Productos!F:F,"No encontrado")</f>
        <v>3200</v>
      </c>
      <c r="K48" s="5">
        <f>_xlfn.XLOOKUP(C48,Productos!A:A,Productos!E:E, "No encontrado")</f>
        <v>2200</v>
      </c>
      <c r="L48" s="5">
        <f t="shared" si="0"/>
        <v>3200</v>
      </c>
      <c r="M48" s="5">
        <f t="shared" si="1"/>
        <v>2200</v>
      </c>
      <c r="N48" s="5">
        <f t="shared" si="2"/>
        <v>1000</v>
      </c>
      <c r="O48" s="5">
        <f t="shared" si="3"/>
        <v>0.31</v>
      </c>
    </row>
    <row r="49" spans="1:15" x14ac:dyDescent="0.25">
      <c r="A49" s="4" t="s">
        <v>327</v>
      </c>
      <c r="B49" s="3">
        <v>46183</v>
      </c>
      <c r="C49" s="4" t="s">
        <v>103</v>
      </c>
      <c r="D49" s="1">
        <v>3</v>
      </c>
      <c r="E49" s="1" t="s">
        <v>8</v>
      </c>
      <c r="F49" s="1" t="s">
        <v>282</v>
      </c>
      <c r="G49" s="1" t="s">
        <v>7</v>
      </c>
      <c r="H49" s="5" t="str">
        <f>IFERROR(_xlfn.XLOOKUP(C49,Productos!A:A,Productos!B:B,FALSE),"No encontrado")</f>
        <v>Leche entera</v>
      </c>
      <c r="I49" s="5" t="str">
        <f>_xlfn.XLOOKUP(C49,Productos!A:A,Productos!C:C,"No encontrado")</f>
        <v>Lácteos</v>
      </c>
      <c r="J49" s="5">
        <f>_xlfn.XLOOKUP(C49,Productos!A:A,Productos!F:F,"No encontrado")</f>
        <v>4200</v>
      </c>
      <c r="K49" s="5">
        <f>_xlfn.XLOOKUP(C49,Productos!A:A,Productos!E:E, "No encontrado")</f>
        <v>3000</v>
      </c>
      <c r="L49" s="5">
        <f t="shared" si="0"/>
        <v>12600</v>
      </c>
      <c r="M49" s="5">
        <f t="shared" si="1"/>
        <v>9000</v>
      </c>
      <c r="N49" s="5">
        <f t="shared" si="2"/>
        <v>3600</v>
      </c>
      <c r="O49" s="5">
        <f t="shared" si="3"/>
        <v>0.28999999999999998</v>
      </c>
    </row>
    <row r="50" spans="1:15" x14ac:dyDescent="0.25">
      <c r="A50" s="4" t="s">
        <v>328</v>
      </c>
      <c r="B50" s="3">
        <v>46183</v>
      </c>
      <c r="C50" s="4" t="s">
        <v>131</v>
      </c>
      <c r="D50" s="1">
        <v>2</v>
      </c>
      <c r="E50" s="1" t="s">
        <v>5</v>
      </c>
      <c r="F50" s="1" t="s">
        <v>278</v>
      </c>
      <c r="G50" s="1" t="s">
        <v>9</v>
      </c>
      <c r="H50" s="5" t="str">
        <f>IFERROR(_xlfn.XLOOKUP(C50,Productos!A:A,Productos!B:B,FALSE),"No encontrado")</f>
        <v>Papel higiénico x8</v>
      </c>
      <c r="I50" s="5" t="str">
        <f>_xlfn.XLOOKUP(C50,Productos!A:A,Productos!C:C,"No encontrado")</f>
        <v>Aseo</v>
      </c>
      <c r="J50" s="5">
        <f>_xlfn.XLOOKUP(C50,Productos!A:A,Productos!F:F,"No encontrado")</f>
        <v>14000</v>
      </c>
      <c r="K50" s="5">
        <f>_xlfn.XLOOKUP(C50,Productos!A:A,Productos!E:E, "No encontrado")</f>
        <v>9000</v>
      </c>
      <c r="L50" s="5">
        <f t="shared" si="0"/>
        <v>28000</v>
      </c>
      <c r="M50" s="5">
        <f t="shared" si="1"/>
        <v>18000</v>
      </c>
      <c r="N50" s="5">
        <f t="shared" si="2"/>
        <v>10000</v>
      </c>
      <c r="O50" s="5">
        <f t="shared" si="3"/>
        <v>0.36</v>
      </c>
    </row>
    <row r="51" spans="1:15" x14ac:dyDescent="0.25">
      <c r="A51" s="4" t="s">
        <v>329</v>
      </c>
      <c r="B51" s="3">
        <v>46183</v>
      </c>
      <c r="C51" s="4" t="s">
        <v>155</v>
      </c>
      <c r="D51" s="1">
        <v>1</v>
      </c>
      <c r="E51" s="1" t="s">
        <v>6</v>
      </c>
      <c r="F51" s="1" t="s">
        <v>280</v>
      </c>
      <c r="G51" s="1" t="s">
        <v>7</v>
      </c>
      <c r="H51" s="5" t="str">
        <f>IFERROR(_xlfn.XLOOKUP(C51,Productos!A:A,Productos!B:B,FALSE),"No encontrado")</f>
        <v>Chocolate Jet</v>
      </c>
      <c r="I51" s="5" t="str">
        <f>_xlfn.XLOOKUP(C51,Productos!A:A,Productos!C:C,"No encontrado")</f>
        <v>Snacks</v>
      </c>
      <c r="J51" s="5">
        <f>_xlfn.XLOOKUP(C51,Productos!A:A,Productos!F:F,"No encontrado")</f>
        <v>4000</v>
      </c>
      <c r="K51" s="5">
        <f>_xlfn.XLOOKUP(C51,Productos!A:A,Productos!E:E, "No encontrado")</f>
        <v>2500</v>
      </c>
      <c r="L51" s="5">
        <f t="shared" si="0"/>
        <v>4000</v>
      </c>
      <c r="M51" s="5">
        <f t="shared" si="1"/>
        <v>2500</v>
      </c>
      <c r="N51" s="5">
        <f t="shared" si="2"/>
        <v>1500</v>
      </c>
      <c r="O51" s="5">
        <f t="shared" si="3"/>
        <v>0.38</v>
      </c>
    </row>
    <row r="52" spans="1:15" x14ac:dyDescent="0.25">
      <c r="A52" s="4" t="s">
        <v>330</v>
      </c>
      <c r="B52" s="3">
        <v>46184</v>
      </c>
      <c r="C52" s="4" t="s">
        <v>184</v>
      </c>
      <c r="D52" s="1">
        <v>2</v>
      </c>
      <c r="E52" s="1" t="s">
        <v>8</v>
      </c>
      <c r="F52" s="1" t="s">
        <v>282</v>
      </c>
      <c r="G52" s="1" t="s">
        <v>7</v>
      </c>
      <c r="H52" s="5" t="str">
        <f>IFERROR(_xlfn.XLOOKUP(C52,Productos!A:A,Productos!B:B,FALSE),"No encontrado")</f>
        <v>Gaseosa 3L</v>
      </c>
      <c r="I52" s="5" t="str">
        <f>_xlfn.XLOOKUP(C52,Productos!A:A,Productos!C:C,"No encontrado")</f>
        <v>Bebidas</v>
      </c>
      <c r="J52" s="5">
        <f>_xlfn.XLOOKUP(C52,Productos!A:A,Productos!F:F,"No encontrado")</f>
        <v>7000</v>
      </c>
      <c r="K52" s="5">
        <f>_xlfn.XLOOKUP(C52,Productos!A:A,Productos!E:E, "No encontrado")</f>
        <v>4500</v>
      </c>
      <c r="L52" s="5">
        <f t="shared" si="0"/>
        <v>14000</v>
      </c>
      <c r="M52" s="5">
        <f t="shared" si="1"/>
        <v>9000</v>
      </c>
      <c r="N52" s="5">
        <f t="shared" si="2"/>
        <v>5000</v>
      </c>
      <c r="O52" s="5">
        <f t="shared" si="3"/>
        <v>0.36</v>
      </c>
    </row>
    <row r="53" spans="1:15" x14ac:dyDescent="0.25">
      <c r="A53" s="4" t="s">
        <v>331</v>
      </c>
      <c r="B53" s="3">
        <v>46184</v>
      </c>
      <c r="C53" s="4" t="s">
        <v>210</v>
      </c>
      <c r="D53" s="1">
        <v>1</v>
      </c>
      <c r="E53" s="1" t="s">
        <v>5</v>
      </c>
      <c r="F53" s="1" t="s">
        <v>278</v>
      </c>
      <c r="G53" s="1" t="s">
        <v>9</v>
      </c>
      <c r="H53" s="5" t="str">
        <f>IFERROR(_xlfn.XLOOKUP(C53,Productos!A:A,Productos!B:B,FALSE),"No encontrado")</f>
        <v>Chocolate caliente</v>
      </c>
      <c r="I53" s="5" t="str">
        <f>_xlfn.XLOOKUP(C53,Productos!A:A,Productos!C:C,"No encontrado")</f>
        <v>Bebidas</v>
      </c>
      <c r="J53" s="5">
        <f>_xlfn.XLOOKUP(C53,Productos!A:A,Productos!F:F,"No encontrado")</f>
        <v>5000</v>
      </c>
      <c r="K53" s="5">
        <f>_xlfn.XLOOKUP(C53,Productos!A:A,Productos!E:E, "No encontrado")</f>
        <v>3000</v>
      </c>
      <c r="L53" s="5">
        <f t="shared" si="0"/>
        <v>5000</v>
      </c>
      <c r="M53" s="5">
        <f t="shared" si="1"/>
        <v>3000</v>
      </c>
      <c r="N53" s="5">
        <f t="shared" si="2"/>
        <v>2000</v>
      </c>
      <c r="O53" s="5">
        <f t="shared" si="3"/>
        <v>0.4</v>
      </c>
    </row>
    <row r="54" spans="1:15" x14ac:dyDescent="0.25">
      <c r="A54" s="4" t="s">
        <v>332</v>
      </c>
      <c r="B54" s="3">
        <v>46184</v>
      </c>
      <c r="C54" s="4" t="s">
        <v>230</v>
      </c>
      <c r="D54" s="1">
        <v>3</v>
      </c>
      <c r="E54" s="1" t="s">
        <v>6</v>
      </c>
      <c r="F54" s="1" t="s">
        <v>280</v>
      </c>
      <c r="G54" s="1" t="s">
        <v>7</v>
      </c>
      <c r="H54" s="5" t="str">
        <f>IFERROR(_xlfn.XLOOKUP(C54,Productos!A:A,Productos!B:B,FALSE),"No encontrado")</f>
        <v>Barrilete</v>
      </c>
      <c r="I54" s="5" t="str">
        <f>_xlfn.XLOOKUP(C54,Productos!A:A,Productos!C:C,"No encontrado")</f>
        <v>Snacks</v>
      </c>
      <c r="J54" s="5">
        <f>_xlfn.XLOOKUP(C54,Productos!A:A,Productos!F:F,"No encontrado")</f>
        <v>1500</v>
      </c>
      <c r="K54" s="5">
        <f>_xlfn.XLOOKUP(C54,Productos!A:A,Productos!E:E, "No encontrado")</f>
        <v>800</v>
      </c>
      <c r="L54" s="5">
        <f t="shared" si="0"/>
        <v>4500</v>
      </c>
      <c r="M54" s="5">
        <f t="shared" si="1"/>
        <v>2400</v>
      </c>
      <c r="N54" s="5">
        <f t="shared" si="2"/>
        <v>2100</v>
      </c>
      <c r="O54" s="5">
        <f t="shared" si="3"/>
        <v>0.47</v>
      </c>
    </row>
    <row r="55" spans="1:15" x14ac:dyDescent="0.25">
      <c r="A55" s="4" t="s">
        <v>333</v>
      </c>
      <c r="B55" s="3">
        <v>46184</v>
      </c>
      <c r="C55" s="4" t="s">
        <v>251</v>
      </c>
      <c r="D55" s="1">
        <v>2</v>
      </c>
      <c r="E55" s="1" t="s">
        <v>8</v>
      </c>
      <c r="F55" s="1" t="s">
        <v>282</v>
      </c>
      <c r="G55" s="1" t="s">
        <v>9</v>
      </c>
      <c r="H55" s="5" t="str">
        <f>IFERROR(_xlfn.XLOOKUP(C55,Productos!A:A,Productos!B:B,FALSE),"No encontrado")</f>
        <v>Ambientador</v>
      </c>
      <c r="I55" s="5" t="str">
        <f>_xlfn.XLOOKUP(C55,Productos!A:A,Productos!C:C,"No encontrado")</f>
        <v>Aseo</v>
      </c>
      <c r="J55" s="5">
        <f>_xlfn.XLOOKUP(C55,Productos!A:A,Productos!F:F,"No encontrado")</f>
        <v>6500</v>
      </c>
      <c r="K55" s="5">
        <f>_xlfn.XLOOKUP(C55,Productos!A:A,Productos!E:E, "No encontrado")</f>
        <v>4000</v>
      </c>
      <c r="L55" s="5">
        <f t="shared" si="0"/>
        <v>13000</v>
      </c>
      <c r="M55" s="5">
        <f t="shared" si="1"/>
        <v>8000</v>
      </c>
      <c r="N55" s="5">
        <f t="shared" si="2"/>
        <v>5000</v>
      </c>
      <c r="O55" s="5">
        <f t="shared" si="3"/>
        <v>0.38</v>
      </c>
    </row>
    <row r="56" spans="1:15" x14ac:dyDescent="0.25">
      <c r="A56" s="4" t="s">
        <v>334</v>
      </c>
      <c r="B56" s="3">
        <v>46184</v>
      </c>
      <c r="C56" s="4" t="s">
        <v>268</v>
      </c>
      <c r="D56" s="1">
        <v>1</v>
      </c>
      <c r="E56" s="1" t="s">
        <v>5</v>
      </c>
      <c r="F56" s="1" t="s">
        <v>278</v>
      </c>
      <c r="G56" s="1" t="s">
        <v>7</v>
      </c>
      <c r="H56" s="5" t="str">
        <f>IFERROR(_xlfn.XLOOKUP(C56,Productos!A:A,Productos!B:B,FALSE),"No encontrado")</f>
        <v>Té frío limón</v>
      </c>
      <c r="I56" s="5" t="str">
        <f>_xlfn.XLOOKUP(C56,Productos!A:A,Productos!C:C,"No encontrado")</f>
        <v>Bebidas</v>
      </c>
      <c r="J56" s="5">
        <f>_xlfn.XLOOKUP(C56,Productos!A:A,Productos!F:F,"No encontrado")</f>
        <v>3500</v>
      </c>
      <c r="K56" s="5">
        <f>_xlfn.XLOOKUP(C56,Productos!A:A,Productos!E:E, "No encontrado")</f>
        <v>2000</v>
      </c>
      <c r="L56" s="5">
        <f t="shared" si="0"/>
        <v>3500</v>
      </c>
      <c r="M56" s="5">
        <f t="shared" si="1"/>
        <v>2000</v>
      </c>
      <c r="N56" s="5">
        <f t="shared" si="2"/>
        <v>1500</v>
      </c>
      <c r="O56" s="5">
        <f t="shared" si="3"/>
        <v>0.43</v>
      </c>
    </row>
    <row r="57" spans="1:15" x14ac:dyDescent="0.25">
      <c r="A57" s="4" t="s">
        <v>335</v>
      </c>
      <c r="B57" s="3">
        <v>46185</v>
      </c>
      <c r="C57" s="4" t="s">
        <v>30</v>
      </c>
      <c r="D57" s="1">
        <v>2</v>
      </c>
      <c r="E57" s="1" t="s">
        <v>6</v>
      </c>
      <c r="F57" s="1" t="s">
        <v>280</v>
      </c>
      <c r="G57" s="1" t="s">
        <v>9</v>
      </c>
      <c r="H57" s="5" t="str">
        <f>IFERROR(_xlfn.XLOOKUP(C57,Productos!A:A,Productos!B:B,FALSE),"No encontrado")</f>
        <v>Fanta 1.5L</v>
      </c>
      <c r="I57" s="5" t="str">
        <f>_xlfn.XLOOKUP(C57,Productos!A:A,Productos!C:C,"No encontrado")</f>
        <v>Bebidas</v>
      </c>
      <c r="J57" s="5">
        <f>_xlfn.XLOOKUP(C57,Productos!A:A,Productos!F:F,"No encontrado")</f>
        <v>4800</v>
      </c>
      <c r="K57" s="5">
        <f>_xlfn.XLOOKUP(C57,Productos!A:A,Productos!E:E, "No encontrado")</f>
        <v>2600</v>
      </c>
      <c r="L57" s="5">
        <f t="shared" si="0"/>
        <v>9600</v>
      </c>
      <c r="M57" s="5">
        <f t="shared" si="1"/>
        <v>5200</v>
      </c>
      <c r="N57" s="5">
        <f t="shared" si="2"/>
        <v>4400</v>
      </c>
      <c r="O57" s="5">
        <f t="shared" si="3"/>
        <v>0.46</v>
      </c>
    </row>
    <row r="58" spans="1:15" x14ac:dyDescent="0.25">
      <c r="A58" s="4" t="s">
        <v>336</v>
      </c>
      <c r="B58" s="3">
        <v>46185</v>
      </c>
      <c r="C58" s="4" t="s">
        <v>56</v>
      </c>
      <c r="D58" s="1">
        <v>1</v>
      </c>
      <c r="E58" s="1" t="s">
        <v>8</v>
      </c>
      <c r="F58" s="1" t="s">
        <v>282</v>
      </c>
      <c r="G58" s="1" t="s">
        <v>7</v>
      </c>
      <c r="H58" s="5" t="str">
        <f>IFERROR(_xlfn.XLOOKUP(C58,Productos!A:A,Productos!B:B,FALSE),"No encontrado")</f>
        <v>Frijol 500g</v>
      </c>
      <c r="I58" s="5" t="str">
        <f>_xlfn.XLOOKUP(C58,Productos!A:A,Productos!C:C,"No encontrado")</f>
        <v>Alimentos</v>
      </c>
      <c r="J58" s="5">
        <f>_xlfn.XLOOKUP(C58,Productos!A:A,Productos!F:F,"No encontrado")</f>
        <v>3400</v>
      </c>
      <c r="K58" s="5">
        <f>_xlfn.XLOOKUP(C58,Productos!A:A,Productos!E:E, "No encontrado")</f>
        <v>2400</v>
      </c>
      <c r="L58" s="5">
        <f t="shared" si="0"/>
        <v>3400</v>
      </c>
      <c r="M58" s="5">
        <f t="shared" si="1"/>
        <v>2400</v>
      </c>
      <c r="N58" s="5">
        <f t="shared" si="2"/>
        <v>1000</v>
      </c>
      <c r="O58" s="5">
        <f t="shared" si="3"/>
        <v>0.28999999999999998</v>
      </c>
    </row>
    <row r="59" spans="1:15" x14ac:dyDescent="0.25">
      <c r="A59" s="4" t="s">
        <v>337</v>
      </c>
      <c r="B59" s="3">
        <v>46185</v>
      </c>
      <c r="C59" s="4" t="s">
        <v>107</v>
      </c>
      <c r="D59" s="1">
        <v>3</v>
      </c>
      <c r="E59" s="1" t="s">
        <v>5</v>
      </c>
      <c r="F59" s="1" t="s">
        <v>278</v>
      </c>
      <c r="G59" s="1" t="s">
        <v>9</v>
      </c>
      <c r="H59" s="5" t="str">
        <f>IFERROR(_xlfn.XLOOKUP(C59,Productos!A:A,Productos!B:B,FALSE),"No encontrado")</f>
        <v>Yogurt</v>
      </c>
      <c r="I59" s="5" t="str">
        <f>_xlfn.XLOOKUP(C59,Productos!A:A,Productos!C:C,"No encontrado")</f>
        <v>Lácteos</v>
      </c>
      <c r="J59" s="5">
        <f>_xlfn.XLOOKUP(C59,Productos!A:A,Productos!F:F,"No encontrado")</f>
        <v>3500</v>
      </c>
      <c r="K59" s="5">
        <f>_xlfn.XLOOKUP(C59,Productos!A:A,Productos!E:E, "No encontrado")</f>
        <v>2000</v>
      </c>
      <c r="L59" s="5">
        <f t="shared" si="0"/>
        <v>10500</v>
      </c>
      <c r="M59" s="5">
        <f t="shared" si="1"/>
        <v>6000</v>
      </c>
      <c r="N59" s="5">
        <f t="shared" si="2"/>
        <v>4500</v>
      </c>
      <c r="O59" s="5">
        <f t="shared" si="3"/>
        <v>0.43</v>
      </c>
    </row>
    <row r="60" spans="1:15" x14ac:dyDescent="0.25">
      <c r="A60" s="4" t="s">
        <v>338</v>
      </c>
      <c r="B60" s="3">
        <v>46185</v>
      </c>
      <c r="C60" s="4" t="s">
        <v>139</v>
      </c>
      <c r="D60" s="1">
        <v>2</v>
      </c>
      <c r="E60" s="1" t="s">
        <v>6</v>
      </c>
      <c r="F60" s="1" t="s">
        <v>280</v>
      </c>
      <c r="G60" s="1" t="s">
        <v>7</v>
      </c>
      <c r="H60" s="5" t="str">
        <f>IFERROR(_xlfn.XLOOKUP(C60,Productos!A:A,Productos!B:B,FALSE),"No encontrado")</f>
        <v>Cloro</v>
      </c>
      <c r="I60" s="5" t="str">
        <f>_xlfn.XLOOKUP(C60,Productos!A:A,Productos!C:C,"No encontrado")</f>
        <v>Aseo</v>
      </c>
      <c r="J60" s="5">
        <f>_xlfn.XLOOKUP(C60,Productos!A:A,Productos!F:F,"No encontrado")</f>
        <v>3500</v>
      </c>
      <c r="K60" s="5">
        <f>_xlfn.XLOOKUP(C60,Productos!A:A,Productos!E:E, "No encontrado")</f>
        <v>2000</v>
      </c>
      <c r="L60" s="5">
        <f t="shared" si="0"/>
        <v>7000</v>
      </c>
      <c r="M60" s="5">
        <f t="shared" si="1"/>
        <v>4000</v>
      </c>
      <c r="N60" s="5">
        <f t="shared" si="2"/>
        <v>3000</v>
      </c>
      <c r="O60" s="5">
        <f t="shared" si="3"/>
        <v>0.43</v>
      </c>
    </row>
    <row r="61" spans="1:15" x14ac:dyDescent="0.25">
      <c r="A61" s="4" t="s">
        <v>339</v>
      </c>
      <c r="B61" s="3">
        <v>46185</v>
      </c>
      <c r="C61" s="4" t="s">
        <v>172</v>
      </c>
      <c r="D61" s="1">
        <v>1</v>
      </c>
      <c r="E61" s="1" t="s">
        <v>8</v>
      </c>
      <c r="F61" s="1" t="s">
        <v>282</v>
      </c>
      <c r="G61" s="1" t="s">
        <v>9</v>
      </c>
      <c r="H61" s="5" t="str">
        <f>IFERROR(_xlfn.XLOOKUP(C61,Productos!A:A,Productos!B:B,FALSE),"No encontrado")</f>
        <v>Yogurt bebible</v>
      </c>
      <c r="I61" s="5" t="str">
        <f>_xlfn.XLOOKUP(C61,Productos!A:A,Productos!C:C,"No encontrado")</f>
        <v>Lácteos</v>
      </c>
      <c r="J61" s="5">
        <f>_xlfn.XLOOKUP(C61,Productos!A:A,Productos!F:F,"No encontrado")</f>
        <v>4000</v>
      </c>
      <c r="K61" s="5">
        <f>_xlfn.XLOOKUP(C61,Productos!A:A,Productos!E:E, "No encontrado")</f>
        <v>2500</v>
      </c>
      <c r="L61" s="5">
        <f t="shared" si="0"/>
        <v>4000</v>
      </c>
      <c r="M61" s="5">
        <f t="shared" si="1"/>
        <v>2500</v>
      </c>
      <c r="N61" s="5">
        <f t="shared" si="2"/>
        <v>1500</v>
      </c>
      <c r="O61" s="5">
        <f t="shared" si="3"/>
        <v>0.38</v>
      </c>
    </row>
    <row r="62" spans="1:15" x14ac:dyDescent="0.25">
      <c r="A62" s="5" t="s">
        <v>342</v>
      </c>
      <c r="B62" s="6">
        <v>46215</v>
      </c>
      <c r="C62" s="8" t="s">
        <v>343</v>
      </c>
      <c r="D62" s="5">
        <v>1</v>
      </c>
      <c r="E62" s="5" t="s">
        <v>5</v>
      </c>
      <c r="F62" s="5" t="s">
        <v>282</v>
      </c>
      <c r="G62" s="5" t="s">
        <v>9</v>
      </c>
      <c r="H62" s="5" t="str">
        <f>_xlfn.XLOOKUP(C62,Productos!A:A,Productos!B:B,"No encontrado")</f>
        <v>No encontrado</v>
      </c>
      <c r="I62" s="5" t="str">
        <f>_xlfn.XLOOKUP(C62,Productos!A:A,Productos!C:C,"No encontrado")</f>
        <v>No encontrado</v>
      </c>
      <c r="J62" s="5" t="str">
        <f>_xlfn.XLOOKUP(C62,Productos!A:A,Productos!F:F,"No encontrado")</f>
        <v>No encontrado</v>
      </c>
      <c r="K62" s="5" t="str">
        <f>_xlfn.XLOOKUP(C62,Productos!A:A,Productos!E:E, "No encontrado")</f>
        <v>No encontrado</v>
      </c>
      <c r="L62" s="5">
        <f t="shared" si="0"/>
        <v>0</v>
      </c>
      <c r="M62" s="5">
        <f t="shared" si="1"/>
        <v>0</v>
      </c>
      <c r="N62" s="5">
        <f t="shared" si="2"/>
        <v>0</v>
      </c>
      <c r="O62" s="5">
        <f t="shared" si="3"/>
        <v>0</v>
      </c>
    </row>
    <row r="63" spans="1:15" x14ac:dyDescent="0.25">
      <c r="A63" s="5"/>
      <c r="B63" s="5"/>
      <c r="C63" s="9"/>
      <c r="D63" s="7"/>
      <c r="E63" s="7"/>
      <c r="F63" s="7"/>
      <c r="G63" s="7"/>
      <c r="H63" s="7"/>
      <c r="I63" s="7"/>
      <c r="J63" s="7"/>
      <c r="K63" s="7"/>
    </row>
  </sheetData>
  <sheetProtection sheet="1" objects="1" scenarios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13CB5-2A8D-4312-875E-AFB6D033A330}">
  <dimension ref="G1:V52"/>
  <sheetViews>
    <sheetView showGridLines="0" tabSelected="1" zoomScale="43" zoomScaleNormal="43" workbookViewId="0">
      <selection activeCell="B3" sqref="B3"/>
    </sheetView>
  </sheetViews>
  <sheetFormatPr baseColWidth="10" defaultRowHeight="15" x14ac:dyDescent="0.25"/>
  <cols>
    <col min="1" max="1" width="30.140625" bestFit="1" customWidth="1"/>
    <col min="2" max="2" width="22.7109375" bestFit="1" customWidth="1"/>
    <col min="3" max="3" width="6" bestFit="1" customWidth="1"/>
    <col min="4" max="4" width="15.85546875" customWidth="1"/>
    <col min="5" max="5" width="26" customWidth="1"/>
    <col min="6" max="6" width="7.140625" bestFit="1" customWidth="1"/>
    <col min="7" max="7" width="20.28515625" customWidth="1"/>
    <col min="8" max="8" width="21.140625" customWidth="1"/>
    <col min="9" max="9" width="8.5703125" bestFit="1" customWidth="1"/>
    <col min="10" max="10" width="6.85546875" bestFit="1" customWidth="1"/>
    <col min="11" max="11" width="12.5703125" bestFit="1" customWidth="1"/>
  </cols>
  <sheetData>
    <row r="1" spans="7:22" ht="15" customHeight="1" x14ac:dyDescent="0.25">
      <c r="G1" s="37" t="s">
        <v>357</v>
      </c>
      <c r="H1" s="37"/>
      <c r="I1" s="37"/>
      <c r="J1" s="37"/>
      <c r="K1" s="37"/>
      <c r="L1" s="37"/>
      <c r="M1" s="37"/>
    </row>
    <row r="2" spans="7:22" ht="15" customHeight="1" x14ac:dyDescent="0.25">
      <c r="G2" s="37"/>
      <c r="H2" s="37"/>
      <c r="I2" s="37"/>
      <c r="J2" s="37"/>
      <c r="K2" s="37"/>
      <c r="L2" s="37"/>
      <c r="M2" s="37"/>
    </row>
    <row r="4" spans="7:22" ht="15" customHeight="1" x14ac:dyDescent="0.25">
      <c r="T4" s="38" t="s">
        <v>353</v>
      </c>
      <c r="U4" s="39"/>
      <c r="V4" s="40"/>
    </row>
    <row r="5" spans="7:22" ht="15" customHeight="1" x14ac:dyDescent="0.25">
      <c r="T5" s="41"/>
      <c r="U5" s="42"/>
      <c r="V5" s="43"/>
    </row>
    <row r="6" spans="7:22" ht="15" customHeight="1" x14ac:dyDescent="0.25">
      <c r="T6" s="28">
        <f>SUM(Ventas!L2:L1000)</f>
        <v>624500</v>
      </c>
      <c r="U6" s="29"/>
      <c r="V6" s="30"/>
    </row>
    <row r="7" spans="7:22" ht="15" customHeight="1" x14ac:dyDescent="0.25">
      <c r="T7" s="31"/>
      <c r="U7" s="32"/>
      <c r="V7" s="33"/>
    </row>
    <row r="8" spans="7:22" ht="15" customHeight="1" x14ac:dyDescent="0.25">
      <c r="T8" s="31"/>
      <c r="U8" s="32"/>
      <c r="V8" s="33"/>
    </row>
    <row r="9" spans="7:22" ht="15" customHeight="1" x14ac:dyDescent="0.25">
      <c r="T9" s="31"/>
      <c r="U9" s="32"/>
      <c r="V9" s="33"/>
    </row>
    <row r="10" spans="7:22" ht="15" customHeight="1" x14ac:dyDescent="0.25">
      <c r="T10" s="31"/>
      <c r="U10" s="32"/>
      <c r="V10" s="33"/>
    </row>
    <row r="11" spans="7:22" ht="15" customHeight="1" x14ac:dyDescent="0.25">
      <c r="T11" s="31"/>
      <c r="U11" s="32"/>
      <c r="V11" s="33"/>
    </row>
    <row r="12" spans="7:22" ht="15" customHeight="1" x14ac:dyDescent="0.25">
      <c r="T12" s="31"/>
      <c r="U12" s="32"/>
      <c r="V12" s="33"/>
    </row>
    <row r="13" spans="7:22" ht="15" customHeight="1" x14ac:dyDescent="0.25">
      <c r="T13" s="34"/>
      <c r="U13" s="35"/>
      <c r="V13" s="36"/>
    </row>
    <row r="17" spans="20:22" x14ac:dyDescent="0.25">
      <c r="T17" s="44" t="s">
        <v>354</v>
      </c>
      <c r="U17" s="45"/>
      <c r="V17" s="46"/>
    </row>
    <row r="18" spans="20:22" x14ac:dyDescent="0.25">
      <c r="T18" s="47"/>
      <c r="U18" s="48"/>
      <c r="V18" s="49"/>
    </row>
    <row r="19" spans="20:22" x14ac:dyDescent="0.25">
      <c r="T19" s="28">
        <f>MAX(Ventas!L2:L200)</f>
        <v>42000</v>
      </c>
      <c r="U19" s="29"/>
      <c r="V19" s="30"/>
    </row>
    <row r="20" spans="20:22" x14ac:dyDescent="0.25">
      <c r="T20" s="31"/>
      <c r="U20" s="32"/>
      <c r="V20" s="33"/>
    </row>
    <row r="21" spans="20:22" x14ac:dyDescent="0.25">
      <c r="T21" s="31"/>
      <c r="U21" s="32"/>
      <c r="V21" s="33"/>
    </row>
    <row r="22" spans="20:22" x14ac:dyDescent="0.25">
      <c r="T22" s="31"/>
      <c r="U22" s="32"/>
      <c r="V22" s="33"/>
    </row>
    <row r="23" spans="20:22" x14ac:dyDescent="0.25">
      <c r="T23" s="31"/>
      <c r="U23" s="32"/>
      <c r="V23" s="33"/>
    </row>
    <row r="24" spans="20:22" x14ac:dyDescent="0.25">
      <c r="T24" s="31"/>
      <c r="U24" s="32"/>
      <c r="V24" s="33"/>
    </row>
    <row r="25" spans="20:22" x14ac:dyDescent="0.25">
      <c r="T25" s="31"/>
      <c r="U25" s="32"/>
      <c r="V25" s="33"/>
    </row>
    <row r="26" spans="20:22" x14ac:dyDescent="0.25">
      <c r="T26" s="34"/>
      <c r="U26" s="35"/>
      <c r="V26" s="36"/>
    </row>
    <row r="30" spans="20:22" x14ac:dyDescent="0.25">
      <c r="T30" s="38" t="s">
        <v>355</v>
      </c>
      <c r="U30" s="39"/>
      <c r="V30" s="40"/>
    </row>
    <row r="31" spans="20:22" x14ac:dyDescent="0.25">
      <c r="T31" s="41"/>
      <c r="U31" s="42"/>
      <c r="V31" s="43"/>
    </row>
    <row r="32" spans="20:22" x14ac:dyDescent="0.25">
      <c r="T32" s="13">
        <f>_xlfn.MINIFS(Ventas!L2:L200,Ventas!L2:L200,"&gt;0")</f>
        <v>2000</v>
      </c>
      <c r="U32" s="14"/>
      <c r="V32" s="15"/>
    </row>
    <row r="33" spans="20:22" x14ac:dyDescent="0.25">
      <c r="T33" s="16"/>
      <c r="U33" s="17"/>
      <c r="V33" s="18"/>
    </row>
    <row r="34" spans="20:22" x14ac:dyDescent="0.25">
      <c r="T34" s="16"/>
      <c r="U34" s="17"/>
      <c r="V34" s="18"/>
    </row>
    <row r="35" spans="20:22" x14ac:dyDescent="0.25">
      <c r="T35" s="16"/>
      <c r="U35" s="17"/>
      <c r="V35" s="18"/>
    </row>
    <row r="36" spans="20:22" x14ac:dyDescent="0.25">
      <c r="T36" s="16"/>
      <c r="U36" s="17"/>
      <c r="V36" s="18"/>
    </row>
    <row r="37" spans="20:22" x14ac:dyDescent="0.25">
      <c r="T37" s="16"/>
      <c r="U37" s="17"/>
      <c r="V37" s="18"/>
    </row>
    <row r="38" spans="20:22" x14ac:dyDescent="0.25">
      <c r="T38" s="16"/>
      <c r="U38" s="17"/>
      <c r="V38" s="18"/>
    </row>
    <row r="39" spans="20:22" x14ac:dyDescent="0.25">
      <c r="T39" s="19"/>
      <c r="U39" s="20"/>
      <c r="V39" s="21"/>
    </row>
    <row r="43" spans="20:22" x14ac:dyDescent="0.25">
      <c r="T43" s="22" t="s">
        <v>356</v>
      </c>
      <c r="U43" s="23"/>
      <c r="V43" s="24"/>
    </row>
    <row r="44" spans="20:22" x14ac:dyDescent="0.25">
      <c r="T44" s="25"/>
      <c r="U44" s="26"/>
      <c r="V44" s="27"/>
    </row>
    <row r="45" spans="20:22" x14ac:dyDescent="0.25">
      <c r="T45" s="13">
        <f>AVERAGE(Ventas!L2:L200)</f>
        <v>10237.704918032787</v>
      </c>
      <c r="U45" s="14"/>
      <c r="V45" s="15"/>
    </row>
    <row r="46" spans="20:22" x14ac:dyDescent="0.25">
      <c r="T46" s="16"/>
      <c r="U46" s="17"/>
      <c r="V46" s="18"/>
    </row>
    <row r="47" spans="20:22" x14ac:dyDescent="0.25">
      <c r="T47" s="16"/>
      <c r="U47" s="17"/>
      <c r="V47" s="18"/>
    </row>
    <row r="48" spans="20:22" x14ac:dyDescent="0.25">
      <c r="T48" s="16"/>
      <c r="U48" s="17"/>
      <c r="V48" s="18"/>
    </row>
    <row r="49" spans="20:22" x14ac:dyDescent="0.25">
      <c r="T49" s="16"/>
      <c r="U49" s="17"/>
      <c r="V49" s="18"/>
    </row>
    <row r="50" spans="20:22" x14ac:dyDescent="0.25">
      <c r="T50" s="16"/>
      <c r="U50" s="17"/>
      <c r="V50" s="18"/>
    </row>
    <row r="51" spans="20:22" x14ac:dyDescent="0.25">
      <c r="T51" s="16"/>
      <c r="U51" s="17"/>
      <c r="V51" s="18"/>
    </row>
    <row r="52" spans="20:22" x14ac:dyDescent="0.25">
      <c r="T52" s="19"/>
      <c r="U52" s="20"/>
      <c r="V52" s="21"/>
    </row>
  </sheetData>
  <mergeCells count="9">
    <mergeCell ref="T32:V39"/>
    <mergeCell ref="T43:V44"/>
    <mergeCell ref="T6:V13"/>
    <mergeCell ref="T45:V52"/>
    <mergeCell ref="G1:M2"/>
    <mergeCell ref="T4:V5"/>
    <mergeCell ref="T17:V18"/>
    <mergeCell ref="T19:V26"/>
    <mergeCell ref="T30:V31"/>
  </mergeCells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Productos</vt:lpstr>
      <vt:lpstr>Ventas</vt:lpstr>
      <vt:lpstr>Dashboard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Angie Buitrago</dc:creator>
  <cp:lastModifiedBy>Angie Buitrago</cp:lastModifiedBy>
  <dcterms:created xsi:type="dcterms:W3CDTF">2026-06-23T01:55:13Z</dcterms:created>
  <dcterms:modified xsi:type="dcterms:W3CDTF">2026-06-25T01:48:17Z</dcterms:modified>
</cp:coreProperties>
</file>